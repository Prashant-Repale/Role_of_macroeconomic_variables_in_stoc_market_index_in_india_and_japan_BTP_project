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BTP\"/>
    </mc:Choice>
  </mc:AlternateContent>
  <bookViews>
    <workbookView xWindow="0" yWindow="0" windowWidth="23016" windowHeight="916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4" i="1"/>
  <c r="M5" i="1"/>
  <c r="M6" i="1"/>
  <c r="M7" i="1"/>
  <c r="M8" i="1"/>
  <c r="M9" i="1"/>
  <c r="M10" i="1"/>
  <c r="M11" i="1"/>
  <c r="M12" i="1"/>
  <c r="M3" i="1"/>
  <c r="M2" i="1"/>
  <c r="K2" i="1"/>
  <c r="J2" i="1"/>
  <c r="D4" i="1" l="1"/>
  <c r="J4" i="1" s="1"/>
  <c r="D5" i="1"/>
  <c r="J5" i="1" s="1"/>
  <c r="D6" i="1"/>
  <c r="J6" i="1" s="1"/>
  <c r="D7" i="1"/>
  <c r="J7" i="1" s="1"/>
  <c r="D8" i="1"/>
  <c r="J8" i="1" s="1"/>
  <c r="D9" i="1"/>
  <c r="J9" i="1" s="1"/>
  <c r="D10" i="1"/>
  <c r="J10" i="1" s="1"/>
  <c r="D11" i="1"/>
  <c r="J11" i="1" s="1"/>
  <c r="D12" i="1"/>
  <c r="J12" i="1" s="1"/>
  <c r="D13" i="1"/>
  <c r="J13" i="1" s="1"/>
  <c r="D14" i="1"/>
  <c r="J14" i="1" s="1"/>
  <c r="D15" i="1"/>
  <c r="J15" i="1" s="1"/>
  <c r="D16" i="1"/>
  <c r="J16" i="1" s="1"/>
  <c r="D17" i="1"/>
  <c r="J17" i="1" s="1"/>
  <c r="D18" i="1"/>
  <c r="J18" i="1" s="1"/>
  <c r="D19" i="1"/>
  <c r="J19" i="1" s="1"/>
  <c r="D20" i="1"/>
  <c r="J20" i="1" s="1"/>
  <c r="D21" i="1"/>
  <c r="J21" i="1" s="1"/>
  <c r="D22" i="1"/>
  <c r="J22" i="1" s="1"/>
  <c r="D23" i="1"/>
  <c r="J23" i="1" s="1"/>
  <c r="D24" i="1"/>
  <c r="J24" i="1" s="1"/>
  <c r="D25" i="1"/>
  <c r="J25" i="1" s="1"/>
  <c r="D26" i="1"/>
  <c r="J26" i="1" s="1"/>
  <c r="D27" i="1"/>
  <c r="J27" i="1" s="1"/>
  <c r="D28" i="1"/>
  <c r="J28" i="1" s="1"/>
  <c r="D29" i="1"/>
  <c r="J29" i="1" s="1"/>
  <c r="D30" i="1"/>
  <c r="J30" i="1" s="1"/>
  <c r="D31" i="1"/>
  <c r="J31" i="1" s="1"/>
  <c r="D32" i="1"/>
  <c r="J32" i="1" s="1"/>
  <c r="D33" i="1"/>
  <c r="J33" i="1" s="1"/>
  <c r="D34" i="1"/>
  <c r="J34" i="1" s="1"/>
  <c r="D35" i="1"/>
  <c r="J35" i="1" s="1"/>
  <c r="D36" i="1"/>
  <c r="J36" i="1" s="1"/>
  <c r="D37" i="1"/>
  <c r="J37" i="1" s="1"/>
  <c r="D38" i="1"/>
  <c r="J38" i="1" s="1"/>
  <c r="D39" i="1"/>
  <c r="J39" i="1" s="1"/>
  <c r="D40" i="1"/>
  <c r="J40" i="1" s="1"/>
  <c r="D41" i="1"/>
  <c r="J41" i="1" s="1"/>
  <c r="D42" i="1"/>
  <c r="J42" i="1" s="1"/>
  <c r="D43" i="1"/>
  <c r="J43" i="1" s="1"/>
  <c r="D44" i="1"/>
  <c r="J44" i="1" s="1"/>
  <c r="D45" i="1"/>
  <c r="J45" i="1" s="1"/>
  <c r="D46" i="1"/>
  <c r="J46" i="1" s="1"/>
  <c r="D47" i="1"/>
  <c r="J47" i="1" s="1"/>
  <c r="D48" i="1"/>
  <c r="J48" i="1" s="1"/>
  <c r="D49" i="1"/>
  <c r="J49" i="1" s="1"/>
  <c r="D50" i="1"/>
  <c r="J50" i="1" s="1"/>
  <c r="D51" i="1"/>
  <c r="J51" i="1" s="1"/>
  <c r="D52" i="1"/>
  <c r="J52" i="1" s="1"/>
  <c r="D53" i="1"/>
  <c r="J53" i="1" s="1"/>
  <c r="D54" i="1"/>
  <c r="J54" i="1" s="1"/>
  <c r="D55" i="1"/>
  <c r="J55" i="1" s="1"/>
  <c r="D56" i="1"/>
  <c r="J56" i="1" s="1"/>
  <c r="D57" i="1"/>
  <c r="J57" i="1" s="1"/>
  <c r="D58" i="1"/>
  <c r="J58" i="1" s="1"/>
  <c r="D59" i="1"/>
  <c r="J59" i="1" s="1"/>
  <c r="D60" i="1"/>
  <c r="J60" i="1" s="1"/>
  <c r="D61" i="1"/>
  <c r="J61" i="1" s="1"/>
  <c r="D62" i="1"/>
  <c r="J62" i="1" s="1"/>
  <c r="D63" i="1"/>
  <c r="J63" i="1" s="1"/>
  <c r="D64" i="1"/>
  <c r="J64" i="1" s="1"/>
  <c r="D65" i="1"/>
  <c r="J65" i="1" s="1"/>
  <c r="D66" i="1"/>
  <c r="J66" i="1" s="1"/>
  <c r="D67" i="1"/>
  <c r="J67" i="1" s="1"/>
  <c r="D68" i="1"/>
  <c r="J68" i="1" s="1"/>
  <c r="D69" i="1"/>
  <c r="J69" i="1" s="1"/>
  <c r="D70" i="1"/>
  <c r="J70" i="1" s="1"/>
  <c r="D71" i="1"/>
  <c r="J71" i="1" s="1"/>
  <c r="D72" i="1"/>
  <c r="J72" i="1" s="1"/>
  <c r="D73" i="1"/>
  <c r="J73" i="1" s="1"/>
  <c r="D74" i="1"/>
  <c r="J74" i="1" s="1"/>
  <c r="D75" i="1"/>
  <c r="J75" i="1" s="1"/>
  <c r="D76" i="1"/>
  <c r="J76" i="1" s="1"/>
  <c r="D77" i="1"/>
  <c r="J77" i="1" s="1"/>
  <c r="D78" i="1"/>
  <c r="J78" i="1" s="1"/>
  <c r="D79" i="1"/>
  <c r="J79" i="1" s="1"/>
  <c r="D80" i="1"/>
  <c r="J80" i="1" s="1"/>
  <c r="D81" i="1"/>
  <c r="J81" i="1" s="1"/>
  <c r="D82" i="1"/>
  <c r="J82" i="1" s="1"/>
  <c r="D83" i="1"/>
  <c r="J83" i="1" s="1"/>
  <c r="D84" i="1"/>
  <c r="J84" i="1" s="1"/>
  <c r="D85" i="1"/>
  <c r="J85" i="1" s="1"/>
  <c r="D86" i="1"/>
  <c r="J86" i="1" s="1"/>
  <c r="D87" i="1"/>
  <c r="J87" i="1" s="1"/>
  <c r="D88" i="1"/>
  <c r="J88" i="1" s="1"/>
  <c r="D89" i="1"/>
  <c r="J89" i="1" s="1"/>
  <c r="D90" i="1"/>
  <c r="J90" i="1" s="1"/>
  <c r="D91" i="1"/>
  <c r="J91" i="1" s="1"/>
  <c r="D92" i="1"/>
  <c r="J92" i="1" s="1"/>
  <c r="D93" i="1"/>
  <c r="J93" i="1" s="1"/>
  <c r="D94" i="1"/>
  <c r="J94" i="1" s="1"/>
  <c r="D95" i="1"/>
  <c r="J95" i="1" s="1"/>
  <c r="D96" i="1"/>
  <c r="J96" i="1" s="1"/>
  <c r="D97" i="1"/>
  <c r="J97" i="1" s="1"/>
  <c r="D98" i="1"/>
  <c r="J98" i="1" s="1"/>
  <c r="D99" i="1"/>
  <c r="J99" i="1" s="1"/>
  <c r="D100" i="1"/>
  <c r="J100" i="1" s="1"/>
  <c r="D101" i="1"/>
  <c r="J101" i="1" s="1"/>
  <c r="D102" i="1"/>
  <c r="J102" i="1" s="1"/>
  <c r="D103" i="1"/>
  <c r="J103" i="1" s="1"/>
  <c r="D104" i="1"/>
  <c r="J104" i="1" s="1"/>
  <c r="D105" i="1"/>
  <c r="J105" i="1" s="1"/>
  <c r="D106" i="1"/>
  <c r="J106" i="1" s="1"/>
  <c r="D107" i="1"/>
  <c r="J107" i="1" s="1"/>
  <c r="D108" i="1"/>
  <c r="J108" i="1" s="1"/>
  <c r="D109" i="1"/>
  <c r="J109" i="1" s="1"/>
  <c r="D110" i="1"/>
  <c r="J110" i="1" s="1"/>
  <c r="D111" i="1"/>
  <c r="J111" i="1" s="1"/>
  <c r="D112" i="1"/>
  <c r="J112" i="1" s="1"/>
  <c r="D113" i="1"/>
  <c r="J113" i="1" s="1"/>
  <c r="D114" i="1"/>
  <c r="J114" i="1" s="1"/>
  <c r="D115" i="1"/>
  <c r="J115" i="1" s="1"/>
  <c r="D116" i="1"/>
  <c r="J116" i="1" s="1"/>
  <c r="D117" i="1"/>
  <c r="J117" i="1" s="1"/>
  <c r="D118" i="1"/>
  <c r="J118" i="1" s="1"/>
  <c r="D119" i="1"/>
  <c r="J119" i="1" s="1"/>
  <c r="D120" i="1"/>
  <c r="J120" i="1" s="1"/>
  <c r="D121" i="1"/>
  <c r="J121" i="1" s="1"/>
  <c r="D122" i="1"/>
  <c r="J122" i="1" s="1"/>
  <c r="D123" i="1"/>
  <c r="J123" i="1" s="1"/>
  <c r="D124" i="1"/>
  <c r="J124" i="1" s="1"/>
  <c r="D125" i="1"/>
  <c r="J125" i="1" s="1"/>
  <c r="D126" i="1"/>
  <c r="J126" i="1" s="1"/>
  <c r="D127" i="1"/>
  <c r="J127" i="1" s="1"/>
  <c r="D128" i="1"/>
  <c r="J128" i="1" s="1"/>
  <c r="D129" i="1"/>
  <c r="J129" i="1" s="1"/>
  <c r="D130" i="1"/>
  <c r="J130" i="1" s="1"/>
  <c r="D131" i="1"/>
  <c r="J131" i="1" s="1"/>
  <c r="D132" i="1"/>
  <c r="J132" i="1" s="1"/>
  <c r="D133" i="1"/>
  <c r="J133" i="1" s="1"/>
  <c r="D134" i="1"/>
  <c r="J134" i="1" s="1"/>
  <c r="D135" i="1"/>
  <c r="J135" i="1" s="1"/>
  <c r="D136" i="1"/>
  <c r="J136" i="1" s="1"/>
  <c r="D137" i="1"/>
  <c r="J137" i="1" s="1"/>
  <c r="D138" i="1"/>
  <c r="J138" i="1" s="1"/>
  <c r="D139" i="1"/>
  <c r="J139" i="1" s="1"/>
  <c r="D140" i="1"/>
  <c r="J140" i="1" s="1"/>
  <c r="D141" i="1"/>
  <c r="J141" i="1" s="1"/>
  <c r="D142" i="1"/>
  <c r="J142" i="1" s="1"/>
  <c r="D143" i="1"/>
  <c r="J143" i="1" s="1"/>
  <c r="D144" i="1"/>
  <c r="J144" i="1" s="1"/>
  <c r="D145" i="1"/>
  <c r="J145" i="1" s="1"/>
  <c r="D146" i="1"/>
  <c r="J146" i="1" s="1"/>
  <c r="D147" i="1"/>
  <c r="J147" i="1" s="1"/>
  <c r="D148" i="1"/>
  <c r="J148" i="1" s="1"/>
  <c r="D149" i="1"/>
  <c r="J149" i="1" s="1"/>
  <c r="D150" i="1"/>
  <c r="J150" i="1" s="1"/>
  <c r="D151" i="1"/>
  <c r="J151" i="1" s="1"/>
  <c r="D152" i="1"/>
  <c r="J152" i="1" s="1"/>
  <c r="D153" i="1"/>
  <c r="J153" i="1" s="1"/>
  <c r="D154" i="1"/>
  <c r="J154" i="1" s="1"/>
  <c r="D155" i="1"/>
  <c r="J155" i="1" s="1"/>
  <c r="D156" i="1"/>
  <c r="J156" i="1" s="1"/>
  <c r="D157" i="1"/>
  <c r="J157" i="1" s="1"/>
  <c r="D158" i="1"/>
  <c r="J158" i="1" s="1"/>
  <c r="D159" i="1"/>
  <c r="J159" i="1" s="1"/>
  <c r="D160" i="1"/>
  <c r="J160" i="1" s="1"/>
  <c r="D161" i="1"/>
  <c r="J161" i="1" s="1"/>
  <c r="D162" i="1"/>
  <c r="J162" i="1" s="1"/>
  <c r="D163" i="1"/>
  <c r="J163" i="1" s="1"/>
  <c r="D164" i="1"/>
  <c r="J164" i="1" s="1"/>
  <c r="D165" i="1"/>
  <c r="J165" i="1" s="1"/>
  <c r="D2" i="1"/>
  <c r="D3" i="1"/>
  <c r="J3" i="1" s="1"/>
  <c r="F8" i="1"/>
  <c r="K8" i="1" s="1"/>
  <c r="F9" i="1"/>
  <c r="K9" i="1" s="1"/>
  <c r="F10" i="1"/>
  <c r="K10" i="1" s="1"/>
  <c r="F11" i="1"/>
  <c r="K11" i="1" s="1"/>
  <c r="F12" i="1"/>
  <c r="K12" i="1" s="1"/>
  <c r="F13" i="1"/>
  <c r="K13" i="1" s="1"/>
  <c r="F14" i="1"/>
  <c r="K14" i="1" s="1"/>
  <c r="F15" i="1"/>
  <c r="K15" i="1" s="1"/>
  <c r="F16" i="1"/>
  <c r="K16" i="1" s="1"/>
  <c r="F17" i="1"/>
  <c r="K17" i="1" s="1"/>
  <c r="F18" i="1"/>
  <c r="K18" i="1" s="1"/>
  <c r="F19" i="1"/>
  <c r="K19" i="1" s="1"/>
  <c r="F20" i="1"/>
  <c r="K20" i="1" s="1"/>
  <c r="F21" i="1"/>
  <c r="K21" i="1" s="1"/>
  <c r="F22" i="1"/>
  <c r="K22" i="1" s="1"/>
  <c r="F23" i="1"/>
  <c r="K23" i="1" s="1"/>
  <c r="F24" i="1"/>
  <c r="K24" i="1" s="1"/>
  <c r="F25" i="1"/>
  <c r="K25" i="1" s="1"/>
  <c r="F26" i="1"/>
  <c r="K26" i="1" s="1"/>
  <c r="F27" i="1"/>
  <c r="K27" i="1" s="1"/>
  <c r="F28" i="1"/>
  <c r="K28" i="1" s="1"/>
  <c r="F29" i="1"/>
  <c r="K29" i="1" s="1"/>
  <c r="F30" i="1"/>
  <c r="K30" i="1" s="1"/>
  <c r="F31" i="1"/>
  <c r="K31" i="1" s="1"/>
  <c r="F32" i="1"/>
  <c r="K32" i="1" s="1"/>
  <c r="F33" i="1"/>
  <c r="K33" i="1" s="1"/>
  <c r="F34" i="1"/>
  <c r="K34" i="1" s="1"/>
  <c r="F35" i="1"/>
  <c r="K35" i="1" s="1"/>
  <c r="F36" i="1"/>
  <c r="K36" i="1" s="1"/>
  <c r="F37" i="1"/>
  <c r="K37" i="1" s="1"/>
  <c r="F38" i="1"/>
  <c r="K38" i="1" s="1"/>
  <c r="F39" i="1"/>
  <c r="K39" i="1" s="1"/>
  <c r="F40" i="1"/>
  <c r="K40" i="1" s="1"/>
  <c r="F41" i="1"/>
  <c r="K41" i="1" s="1"/>
  <c r="F42" i="1"/>
  <c r="K42" i="1" s="1"/>
  <c r="F43" i="1"/>
  <c r="K43" i="1" s="1"/>
  <c r="F44" i="1"/>
  <c r="K44" i="1" s="1"/>
  <c r="F45" i="1"/>
  <c r="K45" i="1" s="1"/>
  <c r="F46" i="1"/>
  <c r="K46" i="1" s="1"/>
  <c r="F47" i="1"/>
  <c r="K47" i="1" s="1"/>
  <c r="F48" i="1"/>
  <c r="K48" i="1" s="1"/>
  <c r="F49" i="1"/>
  <c r="K49" i="1" s="1"/>
  <c r="F50" i="1"/>
  <c r="K50" i="1" s="1"/>
  <c r="F51" i="1"/>
  <c r="K51" i="1" s="1"/>
  <c r="F52" i="1"/>
  <c r="K52" i="1" s="1"/>
  <c r="F53" i="1"/>
  <c r="K53" i="1" s="1"/>
  <c r="F54" i="1"/>
  <c r="K54" i="1" s="1"/>
  <c r="F55" i="1"/>
  <c r="K55" i="1" s="1"/>
  <c r="F56" i="1"/>
  <c r="K56" i="1" s="1"/>
  <c r="F57" i="1"/>
  <c r="K57" i="1" s="1"/>
  <c r="F58" i="1"/>
  <c r="K58" i="1" s="1"/>
  <c r="F59" i="1"/>
  <c r="K59" i="1" s="1"/>
  <c r="F60" i="1"/>
  <c r="K60" i="1" s="1"/>
  <c r="F61" i="1"/>
  <c r="K61" i="1" s="1"/>
  <c r="F62" i="1"/>
  <c r="K62" i="1" s="1"/>
  <c r="F63" i="1"/>
  <c r="K63" i="1" s="1"/>
  <c r="F64" i="1"/>
  <c r="K64" i="1" s="1"/>
  <c r="F65" i="1"/>
  <c r="K65" i="1" s="1"/>
  <c r="F66" i="1"/>
  <c r="K66" i="1" s="1"/>
  <c r="F67" i="1"/>
  <c r="K67" i="1" s="1"/>
  <c r="F68" i="1"/>
  <c r="K68" i="1" s="1"/>
  <c r="F69" i="1"/>
  <c r="K69" i="1" s="1"/>
  <c r="F70" i="1"/>
  <c r="K70" i="1" s="1"/>
  <c r="F71" i="1"/>
  <c r="K71" i="1" s="1"/>
  <c r="F72" i="1"/>
  <c r="K72" i="1" s="1"/>
  <c r="F73" i="1"/>
  <c r="K73" i="1" s="1"/>
  <c r="F74" i="1"/>
  <c r="K74" i="1" s="1"/>
  <c r="F75" i="1"/>
  <c r="K75" i="1" s="1"/>
  <c r="F76" i="1"/>
  <c r="K76" i="1" s="1"/>
  <c r="F77" i="1"/>
  <c r="K77" i="1" s="1"/>
  <c r="F78" i="1"/>
  <c r="K78" i="1" s="1"/>
  <c r="F79" i="1"/>
  <c r="K79" i="1" s="1"/>
  <c r="F80" i="1"/>
  <c r="K80" i="1" s="1"/>
  <c r="F81" i="1"/>
  <c r="K81" i="1" s="1"/>
  <c r="F82" i="1"/>
  <c r="K82" i="1" s="1"/>
  <c r="F83" i="1"/>
  <c r="K83" i="1" s="1"/>
  <c r="F84" i="1"/>
  <c r="K84" i="1" s="1"/>
  <c r="F85" i="1"/>
  <c r="K85" i="1" s="1"/>
  <c r="F86" i="1"/>
  <c r="K86" i="1" s="1"/>
  <c r="F87" i="1"/>
  <c r="K87" i="1" s="1"/>
  <c r="F88" i="1"/>
  <c r="K88" i="1" s="1"/>
  <c r="F89" i="1"/>
  <c r="K89" i="1" s="1"/>
  <c r="F90" i="1"/>
  <c r="K90" i="1" s="1"/>
  <c r="F91" i="1"/>
  <c r="K91" i="1" s="1"/>
  <c r="F92" i="1"/>
  <c r="K92" i="1" s="1"/>
  <c r="F93" i="1"/>
  <c r="K93" i="1" s="1"/>
  <c r="F94" i="1"/>
  <c r="K94" i="1" s="1"/>
  <c r="F95" i="1"/>
  <c r="K95" i="1" s="1"/>
  <c r="F96" i="1"/>
  <c r="K96" i="1" s="1"/>
  <c r="F97" i="1"/>
  <c r="K97" i="1" s="1"/>
  <c r="F98" i="1"/>
  <c r="K98" i="1" s="1"/>
  <c r="F99" i="1"/>
  <c r="K99" i="1" s="1"/>
  <c r="F100" i="1"/>
  <c r="K100" i="1" s="1"/>
  <c r="F101" i="1"/>
  <c r="K101" i="1" s="1"/>
  <c r="F102" i="1"/>
  <c r="K102" i="1" s="1"/>
  <c r="F103" i="1"/>
  <c r="K103" i="1" s="1"/>
  <c r="F104" i="1"/>
  <c r="K104" i="1" s="1"/>
  <c r="F105" i="1"/>
  <c r="K105" i="1" s="1"/>
  <c r="F106" i="1"/>
  <c r="K106" i="1" s="1"/>
  <c r="F107" i="1"/>
  <c r="K107" i="1" s="1"/>
  <c r="F108" i="1"/>
  <c r="K108" i="1" s="1"/>
  <c r="F109" i="1"/>
  <c r="K109" i="1" s="1"/>
  <c r="F110" i="1"/>
  <c r="K110" i="1" s="1"/>
  <c r="F111" i="1"/>
  <c r="K111" i="1" s="1"/>
  <c r="F112" i="1"/>
  <c r="K112" i="1" s="1"/>
  <c r="F113" i="1"/>
  <c r="K113" i="1" s="1"/>
  <c r="F114" i="1"/>
  <c r="K114" i="1" s="1"/>
  <c r="F115" i="1"/>
  <c r="K115" i="1" s="1"/>
  <c r="F116" i="1"/>
  <c r="K116" i="1" s="1"/>
  <c r="F117" i="1"/>
  <c r="K117" i="1" s="1"/>
  <c r="F118" i="1"/>
  <c r="K118" i="1" s="1"/>
  <c r="F119" i="1"/>
  <c r="K119" i="1" s="1"/>
  <c r="F120" i="1"/>
  <c r="K120" i="1" s="1"/>
  <c r="F121" i="1"/>
  <c r="K121" i="1" s="1"/>
  <c r="F122" i="1"/>
  <c r="K122" i="1" s="1"/>
  <c r="F123" i="1"/>
  <c r="K123" i="1" s="1"/>
  <c r="F124" i="1"/>
  <c r="K124" i="1" s="1"/>
  <c r="F125" i="1"/>
  <c r="K125" i="1" s="1"/>
  <c r="F126" i="1"/>
  <c r="K126" i="1" s="1"/>
  <c r="F127" i="1"/>
  <c r="K127" i="1" s="1"/>
  <c r="F128" i="1"/>
  <c r="K128" i="1" s="1"/>
  <c r="F129" i="1"/>
  <c r="K129" i="1" s="1"/>
  <c r="F130" i="1"/>
  <c r="K130" i="1" s="1"/>
  <c r="F131" i="1"/>
  <c r="K131" i="1" s="1"/>
  <c r="F132" i="1"/>
  <c r="K132" i="1" s="1"/>
  <c r="F133" i="1"/>
  <c r="K133" i="1" s="1"/>
  <c r="F134" i="1"/>
  <c r="K134" i="1" s="1"/>
  <c r="F135" i="1"/>
  <c r="K135" i="1" s="1"/>
  <c r="F136" i="1"/>
  <c r="K136" i="1" s="1"/>
  <c r="F137" i="1"/>
  <c r="K137" i="1" s="1"/>
  <c r="F138" i="1"/>
  <c r="K138" i="1" s="1"/>
  <c r="F139" i="1"/>
  <c r="K139" i="1" s="1"/>
  <c r="F140" i="1"/>
  <c r="K140" i="1" s="1"/>
  <c r="F141" i="1"/>
  <c r="K141" i="1" s="1"/>
  <c r="F142" i="1"/>
  <c r="K142" i="1" s="1"/>
  <c r="F143" i="1"/>
  <c r="K143" i="1" s="1"/>
  <c r="F144" i="1"/>
  <c r="K144" i="1" s="1"/>
  <c r="F145" i="1"/>
  <c r="K145" i="1" s="1"/>
  <c r="F146" i="1"/>
  <c r="K146" i="1" s="1"/>
  <c r="F147" i="1"/>
  <c r="K147" i="1" s="1"/>
  <c r="F148" i="1"/>
  <c r="K148" i="1" s="1"/>
  <c r="F149" i="1"/>
  <c r="K149" i="1" s="1"/>
  <c r="F150" i="1"/>
  <c r="K150" i="1" s="1"/>
  <c r="F151" i="1"/>
  <c r="K151" i="1" s="1"/>
  <c r="F152" i="1"/>
  <c r="K152" i="1" s="1"/>
  <c r="F153" i="1"/>
  <c r="K153" i="1" s="1"/>
  <c r="F154" i="1"/>
  <c r="K154" i="1" s="1"/>
  <c r="F155" i="1"/>
  <c r="K155" i="1" s="1"/>
  <c r="F156" i="1"/>
  <c r="K156" i="1" s="1"/>
  <c r="F157" i="1"/>
  <c r="K157" i="1" s="1"/>
  <c r="F158" i="1"/>
  <c r="K158" i="1" s="1"/>
  <c r="F159" i="1"/>
  <c r="K159" i="1" s="1"/>
  <c r="F160" i="1"/>
  <c r="K160" i="1" s="1"/>
  <c r="F161" i="1"/>
  <c r="K161" i="1" s="1"/>
  <c r="F162" i="1"/>
  <c r="K162" i="1" s="1"/>
  <c r="F163" i="1"/>
  <c r="K163" i="1" s="1"/>
  <c r="F164" i="1"/>
  <c r="K164" i="1" s="1"/>
  <c r="F165" i="1"/>
  <c r="K165" i="1" s="1"/>
  <c r="F4" i="1"/>
  <c r="K4" i="1" s="1"/>
  <c r="F5" i="1"/>
  <c r="K5" i="1" s="1"/>
  <c r="F6" i="1"/>
  <c r="K6" i="1" s="1"/>
  <c r="F7" i="1"/>
  <c r="K7" i="1" s="1"/>
  <c r="F3" i="1"/>
  <c r="K3" i="1" s="1"/>
  <c r="F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3" i="1"/>
  <c r="I2" i="1"/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6" i="1"/>
  <c r="H7" i="1"/>
  <c r="H4" i="1"/>
  <c r="H5" i="1"/>
  <c r="H3" i="1"/>
  <c r="H2" i="1"/>
</calcChain>
</file>

<file path=xl/sharedStrings.xml><?xml version="1.0" encoding="utf-8"?>
<sst xmlns="http://schemas.openxmlformats.org/spreadsheetml/2006/main" count="13" uniqueCount="13">
  <si>
    <t>Year</t>
  </si>
  <si>
    <t>CPI</t>
  </si>
  <si>
    <t>log(iip)</t>
  </si>
  <si>
    <t>log(M3)</t>
  </si>
  <si>
    <t>IIP(base 2020)</t>
  </si>
  <si>
    <t>cop (Yen/kl )</t>
  </si>
  <si>
    <t>cop (yen/bbl)</t>
  </si>
  <si>
    <t>M3 (100 million yen)</t>
  </si>
  <si>
    <t>M3 (yen)</t>
  </si>
  <si>
    <t>IR %</t>
  </si>
  <si>
    <t>^N225 (yen)</t>
  </si>
  <si>
    <t>log(COP)</t>
  </si>
  <si>
    <t>log(TSE)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</si>
</sst>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_ 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sz val="11"/>
      <name val="Arial"/>
      <family val="2"/>
    </font>
    <font>
      <sz val="10"/>
      <name val="ＭＳ 明朝"/>
      <family val="1"/>
      <charset val="128"/>
    </font>
    <font>
      <sz val="9"/>
      <name val="ＭＳ Ｐゴシック"/>
      <family val="3"/>
      <charset val="128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1" fillId="0" borderId="0">
      <alignment vertical="center"/>
    </xf>
    <xf numFmtId="0" fontId="2" fillId="0" borderId="0"/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0" borderId="0"/>
  </cellStyleXfs>
  <cellXfs count="11">
    <xf numFmtId="0" fontId="0" fillId="0" borderId="0" xfId="0"/>
    <xf numFmtId="17" fontId="0" fillId="0" borderId="0" xfId="0" applyNumberFormat="1"/>
    <xf numFmtId="164" fontId="1" fillId="0" borderId="0" xfId="1" applyNumberFormat="1">
      <alignment vertical="center"/>
    </xf>
    <xf numFmtId="164" fontId="1" fillId="0" borderId="0" xfId="1" applyNumberFormat="1">
      <alignment vertical="center"/>
    </xf>
    <xf numFmtId="164" fontId="1" fillId="0" borderId="0" xfId="1" applyNumberFormat="1">
      <alignment vertical="center"/>
    </xf>
    <xf numFmtId="164" fontId="1" fillId="0" borderId="0" xfId="1" applyNumberFormat="1">
      <alignment vertical="center"/>
    </xf>
    <xf numFmtId="164" fontId="1" fillId="0" borderId="0" xfId="1" applyNumberFormat="1">
      <alignment vertical="center"/>
    </xf>
    <xf numFmtId="3" fontId="4" fillId="0" borderId="0" xfId="2" applyNumberFormat="1" applyFont="1" applyAlignment="1">
      <alignment horizontal="right"/>
    </xf>
    <xf numFmtId="165" fontId="5" fillId="0" borderId="0" xfId="2" applyNumberFormat="1" applyFont="1" applyAlignment="1">
      <alignment horizontal="right"/>
    </xf>
    <xf numFmtId="165" fontId="5" fillId="0" borderId="0" xfId="2" applyNumberFormat="1" applyFont="1" applyAlignment="1">
      <alignment horizontal="right"/>
    </xf>
    <xf numFmtId="0" fontId="7" fillId="0" borderId="0" xfId="0" applyFont="1" applyBorder="1" applyAlignment="1">
      <alignment horizontal="center" vertical="top"/>
    </xf>
  </cellXfs>
  <cellStyles count="9">
    <cellStyle name="Normal" xfId="0" builtinId="0"/>
    <cellStyle name="Normal 2" xfId="1"/>
    <cellStyle name="Normal 3" xfId="2"/>
    <cellStyle name="標準 2" xfId="3"/>
    <cellStyle name="標準 2 2" xfId="6"/>
    <cellStyle name="標準 2 3" xfId="7"/>
    <cellStyle name="標準 3" xfId="4"/>
    <cellStyle name="標準 4" xfId="8"/>
    <cellStyle name="標準_品目別ウェイト比較B17vsB1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9"/>
  <sheetViews>
    <sheetView tabSelected="1" workbookViewId="0">
      <selection activeCell="O162" sqref="O162"/>
    </sheetView>
  </sheetViews>
  <sheetFormatPr defaultRowHeight="14.4"/>
  <cols>
    <col min="2" max="2" width="13.88671875" customWidth="1"/>
    <col min="3" max="3" width="15" customWidth="1"/>
    <col min="4" max="4" width="11.88671875" customWidth="1"/>
    <col min="5" max="5" width="19.109375" customWidth="1"/>
    <col min="6" max="6" width="11.6640625" customWidth="1"/>
    <col min="12" max="12" width="13.77734375" customWidth="1"/>
  </cols>
  <sheetData>
    <row r="1" spans="1:1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1</v>
      </c>
      <c r="H1" t="s">
        <v>9</v>
      </c>
      <c r="I1" t="s">
        <v>2</v>
      </c>
      <c r="J1" t="s">
        <v>11</v>
      </c>
      <c r="K1" t="s">
        <v>3</v>
      </c>
      <c r="L1" s="10" t="s">
        <v>10</v>
      </c>
      <c r="M1" t="s">
        <v>12</v>
      </c>
    </row>
    <row r="2" spans="1:13">
      <c r="A2" s="1">
        <v>45894</v>
      </c>
      <c r="B2">
        <v>89.9</v>
      </c>
      <c r="C2" s="7">
        <v>66962</v>
      </c>
      <c r="D2" s="7">
        <f>C2/6.28981</f>
        <v>10646.108546999034</v>
      </c>
      <c r="E2">
        <v>16200850</v>
      </c>
      <c r="F2">
        <f>E2*100000000</f>
        <v>1620085000000000</v>
      </c>
      <c r="G2" s="8">
        <v>112.1</v>
      </c>
      <c r="H2">
        <f t="shared" ref="H2:H7" si="0">(G2-G14)/G14*100</f>
        <v>2.7497708524289646</v>
      </c>
      <c r="I2">
        <f>LN(B2)</f>
        <v>4.498697941477575</v>
      </c>
      <c r="J2">
        <f>LN(D2)</f>
        <v>9.272949709716702</v>
      </c>
      <c r="K2">
        <f>LN(F2)</f>
        <v>35.02125501191432</v>
      </c>
      <c r="L2">
        <v>42718.46875</v>
      </c>
      <c r="M2">
        <f>LN(L2)</f>
        <v>10.662386629124628</v>
      </c>
    </row>
    <row r="3" spans="1:13">
      <c r="A3" s="1">
        <v>45863</v>
      </c>
      <c r="B3">
        <v>107.4</v>
      </c>
      <c r="C3" s="7">
        <v>65386</v>
      </c>
      <c r="D3" s="7">
        <f>C3/6.28981</f>
        <v>10395.544539501194</v>
      </c>
      <c r="E3">
        <v>16190652</v>
      </c>
      <c r="F3">
        <f>E3*100000000</f>
        <v>1619065200000000</v>
      </c>
      <c r="G3" s="8">
        <v>112</v>
      </c>
      <c r="H3">
        <f t="shared" si="0"/>
        <v>3.1307550644567272</v>
      </c>
      <c r="I3">
        <f>LN(B3)</f>
        <v>4.6765601820747644</v>
      </c>
      <c r="J3">
        <f>LN(D3)</f>
        <v>9.2491325836724805</v>
      </c>
      <c r="K3">
        <f>LN(F3)</f>
        <v>35.020625340567996</v>
      </c>
      <c r="L3">
        <v>41069.8203125</v>
      </c>
      <c r="M3">
        <f>LN(L3)</f>
        <v>10.623028831788854</v>
      </c>
    </row>
    <row r="4" spans="1:13">
      <c r="A4" s="1">
        <v>45833</v>
      </c>
      <c r="B4">
        <v>103.7</v>
      </c>
      <c r="C4" s="7">
        <v>63702</v>
      </c>
      <c r="D4" s="7">
        <f t="shared" ref="D4:D67" si="1">C4/6.28981</f>
        <v>10127.809902047915</v>
      </c>
      <c r="E4">
        <v>16155603</v>
      </c>
      <c r="F4">
        <f t="shared" ref="F4:F67" si="2">E4*100000000</f>
        <v>1615560300000000</v>
      </c>
      <c r="G4" s="8">
        <v>111.9</v>
      </c>
      <c r="H4">
        <f t="shared" si="0"/>
        <v>3.2287822878228782</v>
      </c>
      <c r="I4">
        <f t="shared" ref="I4:I67" si="3">LN(B4)</f>
        <v>4.6415021152354816</v>
      </c>
      <c r="J4">
        <f t="shared" ref="J4:J67" si="4">LN(D4)</f>
        <v>9.2230403746627747</v>
      </c>
      <c r="K4">
        <f t="shared" ref="K4:K67" si="5">LN(F4)</f>
        <v>35.018458226401798</v>
      </c>
      <c r="L4">
        <v>40487.390625</v>
      </c>
      <c r="M4">
        <f t="shared" ref="M4:M67" si="6">LN(L4)</f>
        <v>10.60874586202487</v>
      </c>
    </row>
    <row r="5" spans="1:13">
      <c r="A5" s="1">
        <v>45802</v>
      </c>
      <c r="B5">
        <v>95</v>
      </c>
      <c r="C5" s="7">
        <v>68250</v>
      </c>
      <c r="D5" s="7">
        <f t="shared" si="1"/>
        <v>10850.884207949048</v>
      </c>
      <c r="E5">
        <v>16141814</v>
      </c>
      <c r="F5">
        <f t="shared" si="2"/>
        <v>1614181400000000</v>
      </c>
      <c r="G5" s="8">
        <v>111.8</v>
      </c>
      <c r="H5">
        <f t="shared" si="0"/>
        <v>3.5185185185185159</v>
      </c>
      <c r="I5">
        <f t="shared" si="3"/>
        <v>4.5538768916005408</v>
      </c>
      <c r="J5">
        <f t="shared" si="4"/>
        <v>9.2920018494683525</v>
      </c>
      <c r="K5">
        <f t="shared" si="5"/>
        <v>35.017604350016711</v>
      </c>
      <c r="L5">
        <v>37965.1015625</v>
      </c>
      <c r="M5">
        <f t="shared" si="6"/>
        <v>10.54442263680509</v>
      </c>
    </row>
    <row r="6" spans="1:13">
      <c r="A6" s="1">
        <v>45772</v>
      </c>
      <c r="B6">
        <v>101</v>
      </c>
      <c r="C6" s="7">
        <v>73526</v>
      </c>
      <c r="D6" s="7">
        <f t="shared" si="1"/>
        <v>11689.70127873497</v>
      </c>
      <c r="E6">
        <v>16140987</v>
      </c>
      <c r="F6">
        <f t="shared" si="2"/>
        <v>1614098700000000</v>
      </c>
      <c r="G6" s="8">
        <v>111.4</v>
      </c>
      <c r="H6">
        <f t="shared" si="0"/>
        <v>3.5315985130111631</v>
      </c>
      <c r="I6">
        <f t="shared" si="3"/>
        <v>4.6151205168412597</v>
      </c>
      <c r="J6">
        <f t="shared" si="4"/>
        <v>9.3664635005669012</v>
      </c>
      <c r="K6">
        <f t="shared" si="5"/>
        <v>35.01755311530507</v>
      </c>
      <c r="L6">
        <v>36045.37890625</v>
      </c>
      <c r="M6">
        <f t="shared" si="6"/>
        <v>10.492533948816996</v>
      </c>
    </row>
    <row r="7" spans="1:13">
      <c r="A7" s="1">
        <v>45741</v>
      </c>
      <c r="B7">
        <v>111.1</v>
      </c>
      <c r="C7" s="7">
        <v>74783</v>
      </c>
      <c r="D7" s="7">
        <f t="shared" si="1"/>
        <v>11889.548332938515</v>
      </c>
      <c r="E7">
        <v>16029070</v>
      </c>
      <c r="F7">
        <f t="shared" si="2"/>
        <v>1602907000000000</v>
      </c>
      <c r="G7" s="8">
        <v>111.3</v>
      </c>
      <c r="H7">
        <f t="shared" si="0"/>
        <v>3.6312849162011092</v>
      </c>
      <c r="I7">
        <f t="shared" si="3"/>
        <v>4.7104306966455844</v>
      </c>
      <c r="J7">
        <f t="shared" si="4"/>
        <v>9.3834150018260836</v>
      </c>
      <c r="K7">
        <f t="shared" si="5"/>
        <v>35.010595250635504</v>
      </c>
      <c r="L7">
        <v>35617.55859375</v>
      </c>
      <c r="M7">
        <f t="shared" si="6"/>
        <v>10.480594014173208</v>
      </c>
    </row>
    <row r="8" spans="1:13">
      <c r="A8" s="1">
        <v>45713</v>
      </c>
      <c r="B8">
        <v>97.3</v>
      </c>
      <c r="C8" s="7">
        <v>78205</v>
      </c>
      <c r="D8" s="7">
        <f t="shared" si="1"/>
        <v>12433.602922822787</v>
      </c>
      <c r="E8">
        <v>16033407</v>
      </c>
      <c r="F8">
        <f t="shared" si="2"/>
        <v>1603340700000000</v>
      </c>
      <c r="G8" s="8">
        <v>111</v>
      </c>
      <c r="H8">
        <f t="shared" ref="H8:H71" si="7">(G8-G20)/G20*100</f>
        <v>3.6414565826330589</v>
      </c>
      <c r="I8">
        <f t="shared" si="3"/>
        <v>4.577798989191959</v>
      </c>
      <c r="J8">
        <f t="shared" si="4"/>
        <v>9.4281579995294891</v>
      </c>
      <c r="K8">
        <f t="shared" si="5"/>
        <v>35.010865784944286</v>
      </c>
      <c r="L8">
        <v>37155.5</v>
      </c>
      <c r="M8">
        <f t="shared" si="6"/>
        <v>10.522867087640035</v>
      </c>
    </row>
    <row r="9" spans="1:13">
      <c r="A9" s="1">
        <v>45682</v>
      </c>
      <c r="B9">
        <v>94.4</v>
      </c>
      <c r="C9" s="7">
        <v>75743</v>
      </c>
      <c r="D9" s="7">
        <f t="shared" si="1"/>
        <v>12042.176154764611</v>
      </c>
      <c r="E9">
        <v>16107730</v>
      </c>
      <c r="F9">
        <f t="shared" si="2"/>
        <v>1610773000000000</v>
      </c>
      <c r="G9" s="8">
        <v>111.1</v>
      </c>
      <c r="H9">
        <f t="shared" si="7"/>
        <v>4.0262172284644171</v>
      </c>
      <c r="I9">
        <f t="shared" si="3"/>
        <v>4.5475410731514554</v>
      </c>
      <c r="J9">
        <f t="shared" si="4"/>
        <v>9.3961704462818414</v>
      </c>
      <c r="K9">
        <f t="shared" si="5"/>
        <v>35.015490582907901</v>
      </c>
      <c r="L9">
        <v>39572.48828125</v>
      </c>
      <c r="M9">
        <f t="shared" si="6"/>
        <v>10.585889415426172</v>
      </c>
    </row>
    <row r="10" spans="1:13">
      <c r="A10" s="1">
        <v>45651</v>
      </c>
      <c r="B10">
        <v>104.1</v>
      </c>
      <c r="C10" s="7">
        <v>73427</v>
      </c>
      <c r="D10" s="7">
        <f t="shared" si="1"/>
        <v>11673.961534609154</v>
      </c>
      <c r="E10">
        <v>16097395</v>
      </c>
      <c r="F10">
        <f t="shared" si="2"/>
        <v>1609739500000000</v>
      </c>
      <c r="G10" s="8">
        <v>110.6</v>
      </c>
      <c r="H10">
        <f t="shared" si="7"/>
        <v>3.6551077788191111</v>
      </c>
      <c r="I10">
        <f t="shared" si="3"/>
        <v>4.6453519756209234</v>
      </c>
      <c r="J10">
        <f t="shared" si="4"/>
        <v>9.3651161307959256</v>
      </c>
      <c r="K10">
        <f t="shared" si="5"/>
        <v>35.014848759573589</v>
      </c>
      <c r="L10">
        <v>39894.5390625</v>
      </c>
      <c r="M10">
        <f t="shared" si="6"/>
        <v>10.5939947279095</v>
      </c>
    </row>
    <row r="11" spans="1:13">
      <c r="A11" s="1">
        <v>45621</v>
      </c>
      <c r="B11">
        <v>103.4</v>
      </c>
      <c r="C11" s="7">
        <v>75194</v>
      </c>
      <c r="D11" s="7">
        <f t="shared" si="1"/>
        <v>11954.892119157812</v>
      </c>
      <c r="E11">
        <v>16058938</v>
      </c>
      <c r="F11">
        <f t="shared" si="2"/>
        <v>1605893800000000</v>
      </c>
      <c r="G11" s="8">
        <v>109.9</v>
      </c>
      <c r="H11">
        <f t="shared" si="7"/>
        <v>2.9026217228464501</v>
      </c>
      <c r="I11">
        <f t="shared" si="3"/>
        <v>4.6386049620743286</v>
      </c>
      <c r="J11">
        <f t="shared" si="4"/>
        <v>9.3888958559418647</v>
      </c>
      <c r="K11">
        <f t="shared" si="5"/>
        <v>35.012456881225106</v>
      </c>
      <c r="L11">
        <v>38208.03125</v>
      </c>
      <c r="M11">
        <f t="shared" si="6"/>
        <v>10.550801014643481</v>
      </c>
    </row>
    <row r="12" spans="1:13">
      <c r="A12" s="1">
        <v>45590</v>
      </c>
      <c r="B12">
        <v>107.2</v>
      </c>
      <c r="C12" s="7">
        <v>73598</v>
      </c>
      <c r="D12" s="7">
        <f t="shared" si="1"/>
        <v>11701.148365371926</v>
      </c>
      <c r="E12">
        <v>16013877</v>
      </c>
      <c r="F12">
        <f t="shared" si="2"/>
        <v>1601387700000000</v>
      </c>
      <c r="G12" s="8">
        <v>109.4</v>
      </c>
      <c r="H12">
        <f t="shared" si="7"/>
        <v>2.2429906542056131</v>
      </c>
      <c r="I12">
        <f t="shared" si="3"/>
        <v>4.6746962486367014</v>
      </c>
      <c r="J12">
        <f t="shared" si="4"/>
        <v>9.3674422668558535</v>
      </c>
      <c r="K12">
        <f t="shared" si="5"/>
        <v>35.009646960758268</v>
      </c>
      <c r="L12">
        <v>39081.25</v>
      </c>
      <c r="M12">
        <f t="shared" si="6"/>
        <v>10.573398091315608</v>
      </c>
    </row>
    <row r="13" spans="1:13">
      <c r="A13" s="1">
        <v>45560</v>
      </c>
      <c r="B13">
        <v>103.6</v>
      </c>
      <c r="C13" s="7">
        <v>75195</v>
      </c>
      <c r="D13" s="7">
        <f t="shared" si="1"/>
        <v>11955.051106472214</v>
      </c>
      <c r="E13">
        <v>16034743</v>
      </c>
      <c r="F13">
        <f t="shared" si="2"/>
        <v>1603474300000000</v>
      </c>
      <c r="G13" s="8">
        <v>109</v>
      </c>
      <c r="H13">
        <f t="shared" si="7"/>
        <v>2.5399811853245557</v>
      </c>
      <c r="I13">
        <f t="shared" si="3"/>
        <v>4.6405373298253823</v>
      </c>
      <c r="J13">
        <f t="shared" si="4"/>
        <v>9.3889091547868606</v>
      </c>
      <c r="K13">
        <f t="shared" si="5"/>
        <v>35.010949107493339</v>
      </c>
      <c r="L13">
        <v>37919.55078125</v>
      </c>
      <c r="M13">
        <f t="shared" si="6"/>
        <v>10.543222109812765</v>
      </c>
    </row>
    <row r="14" spans="1:13">
      <c r="A14" s="1">
        <v>45529</v>
      </c>
      <c r="B14">
        <v>91.4</v>
      </c>
      <c r="C14" s="7">
        <v>82709</v>
      </c>
      <c r="D14" s="7">
        <f t="shared" si="1"/>
        <v>13149.681786890224</v>
      </c>
      <c r="E14">
        <v>16074101</v>
      </c>
      <c r="F14">
        <f t="shared" si="2"/>
        <v>1607410100000000</v>
      </c>
      <c r="G14" s="8">
        <v>109.1</v>
      </c>
      <c r="H14">
        <f t="shared" si="7"/>
        <v>3.0217186024551355</v>
      </c>
      <c r="I14">
        <f t="shared" si="3"/>
        <v>4.5152454784601046</v>
      </c>
      <c r="J14">
        <f t="shared" si="4"/>
        <v>9.4841528385975451</v>
      </c>
      <c r="K14">
        <f t="shared" si="5"/>
        <v>35.013400645126517</v>
      </c>
      <c r="L14">
        <v>38647.75</v>
      </c>
      <c r="M14">
        <f t="shared" si="6"/>
        <v>10.562243837573288</v>
      </c>
    </row>
    <row r="15" spans="1:13">
      <c r="A15" s="1">
        <v>45498</v>
      </c>
      <c r="B15">
        <v>107.8</v>
      </c>
      <c r="C15" s="7">
        <v>88440</v>
      </c>
      <c r="D15" s="7">
        <f t="shared" si="1"/>
        <v>14060.838085729139</v>
      </c>
      <c r="E15">
        <v>16101589</v>
      </c>
      <c r="F15">
        <f t="shared" si="2"/>
        <v>1610158900000000</v>
      </c>
      <c r="G15" s="8">
        <v>108.6</v>
      </c>
      <c r="H15">
        <f t="shared" si="7"/>
        <v>2.7436140018921393</v>
      </c>
      <c r="I15">
        <f t="shared" si="3"/>
        <v>4.6802776584748971</v>
      </c>
      <c r="J15">
        <f t="shared" si="4"/>
        <v>9.5511487713925298</v>
      </c>
      <c r="K15">
        <f t="shared" si="5"/>
        <v>35.015109264689137</v>
      </c>
      <c r="L15">
        <v>39101.8203125</v>
      </c>
      <c r="M15">
        <f t="shared" si="6"/>
        <v>10.573924300196698</v>
      </c>
    </row>
    <row r="16" spans="1:13">
      <c r="A16" s="1">
        <v>45468</v>
      </c>
      <c r="B16">
        <v>99.3</v>
      </c>
      <c r="C16" s="7">
        <v>86628</v>
      </c>
      <c r="D16" s="7">
        <f t="shared" si="1"/>
        <v>13772.753072032383</v>
      </c>
      <c r="E16">
        <v>16094805</v>
      </c>
      <c r="F16">
        <f t="shared" si="2"/>
        <v>1609480500000000</v>
      </c>
      <c r="G16" s="8">
        <v>108.4</v>
      </c>
      <c r="H16">
        <f t="shared" si="7"/>
        <v>2.9439696106362856</v>
      </c>
      <c r="I16">
        <f t="shared" si="3"/>
        <v>4.598145571051127</v>
      </c>
      <c r="J16">
        <f t="shared" si="4"/>
        <v>9.5304475043483095</v>
      </c>
      <c r="K16">
        <f t="shared" si="5"/>
        <v>35.014687851030175</v>
      </c>
      <c r="L16">
        <v>39583.078125</v>
      </c>
      <c r="M16">
        <f t="shared" si="6"/>
        <v>10.586156985839573</v>
      </c>
    </row>
    <row r="17" spans="1:13">
      <c r="A17" s="1">
        <v>45437</v>
      </c>
      <c r="B17">
        <v>97.3</v>
      </c>
      <c r="C17" s="7">
        <v>86953</v>
      </c>
      <c r="D17" s="7">
        <f t="shared" si="1"/>
        <v>13824.423949213093</v>
      </c>
      <c r="E17">
        <v>16105928</v>
      </c>
      <c r="F17">
        <f t="shared" si="2"/>
        <v>1610592800000000</v>
      </c>
      <c r="G17" s="8">
        <v>108</v>
      </c>
      <c r="H17">
        <f t="shared" si="7"/>
        <v>2.7592768791627078</v>
      </c>
      <c r="I17">
        <f t="shared" si="3"/>
        <v>4.577798989191959</v>
      </c>
      <c r="J17">
        <f t="shared" si="4"/>
        <v>9.5341921581960705</v>
      </c>
      <c r="K17">
        <f t="shared" si="5"/>
        <v>35.015378704896293</v>
      </c>
      <c r="L17">
        <v>38487.8984375</v>
      </c>
      <c r="M17">
        <f t="shared" si="6"/>
        <v>10.558099144566309</v>
      </c>
    </row>
    <row r="18" spans="1:13">
      <c r="A18" s="1">
        <v>45407</v>
      </c>
      <c r="B18">
        <v>100.5</v>
      </c>
      <c r="C18" s="7">
        <v>81876</v>
      </c>
      <c r="D18" s="7">
        <f t="shared" si="1"/>
        <v>13017.245353993205</v>
      </c>
      <c r="E18">
        <v>16125677</v>
      </c>
      <c r="F18">
        <f t="shared" si="2"/>
        <v>1612567700000000</v>
      </c>
      <c r="G18" s="8">
        <v>107.6</v>
      </c>
      <c r="H18">
        <f t="shared" si="7"/>
        <v>2.4761904761904709</v>
      </c>
      <c r="I18">
        <f t="shared" si="3"/>
        <v>4.6101577274991303</v>
      </c>
      <c r="J18">
        <f t="shared" si="4"/>
        <v>9.4740303230245715</v>
      </c>
      <c r="K18">
        <f t="shared" si="5"/>
        <v>35.016604148213275</v>
      </c>
      <c r="L18">
        <v>38405.66015625</v>
      </c>
      <c r="M18">
        <f t="shared" si="6"/>
        <v>10.555960127615863</v>
      </c>
    </row>
    <row r="19" spans="1:13">
      <c r="A19" s="1">
        <v>45376</v>
      </c>
      <c r="B19">
        <v>110</v>
      </c>
      <c r="C19" s="7">
        <v>78092</v>
      </c>
      <c r="D19" s="7">
        <f t="shared" si="1"/>
        <v>12415.637356295341</v>
      </c>
      <c r="E19">
        <v>15972247</v>
      </c>
      <c r="F19">
        <f t="shared" si="2"/>
        <v>1597224700000000</v>
      </c>
      <c r="G19" s="8">
        <v>107.4</v>
      </c>
      <c r="H19">
        <f t="shared" si="7"/>
        <v>2.775119617224886</v>
      </c>
      <c r="I19">
        <f t="shared" si="3"/>
        <v>4.7004803657924166</v>
      </c>
      <c r="J19">
        <f t="shared" si="4"/>
        <v>9.42671203422384</v>
      </c>
      <c r="K19">
        <f t="shared" si="5"/>
        <v>35.007043955561024</v>
      </c>
      <c r="L19">
        <v>40369.44140625</v>
      </c>
      <c r="M19">
        <f t="shared" si="6"/>
        <v>10.605828376898396</v>
      </c>
    </row>
    <row r="20" spans="1:13">
      <c r="A20" s="1">
        <v>45347</v>
      </c>
      <c r="B20">
        <v>97.2</v>
      </c>
      <c r="C20" s="7">
        <v>78007</v>
      </c>
      <c r="D20" s="7">
        <f t="shared" si="1"/>
        <v>12402.123434571155</v>
      </c>
      <c r="E20">
        <v>15928651</v>
      </c>
      <c r="F20">
        <f t="shared" si="2"/>
        <v>1592865100000000</v>
      </c>
      <c r="G20" s="8">
        <v>107.1</v>
      </c>
      <c r="H20">
        <f t="shared" si="7"/>
        <v>2.7831094049903951</v>
      </c>
      <c r="I20">
        <f t="shared" si="3"/>
        <v>4.5767707114663931</v>
      </c>
      <c r="J20">
        <f t="shared" si="4"/>
        <v>9.4256229816559038</v>
      </c>
      <c r="K20">
        <f t="shared" si="5"/>
        <v>35.004310739264717</v>
      </c>
      <c r="L20">
        <v>39166.19140625</v>
      </c>
      <c r="M20">
        <f t="shared" si="6"/>
        <v>10.575569189516109</v>
      </c>
    </row>
    <row r="21" spans="1:13">
      <c r="A21" s="1">
        <v>45316</v>
      </c>
      <c r="B21">
        <v>92.4</v>
      </c>
      <c r="C21" s="7">
        <v>77710</v>
      </c>
      <c r="D21" s="7">
        <f t="shared" si="1"/>
        <v>12354.904202193708</v>
      </c>
      <c r="E21">
        <v>15981678</v>
      </c>
      <c r="F21">
        <f t="shared" si="2"/>
        <v>1598167800000000</v>
      </c>
      <c r="G21" s="8">
        <v>106.8</v>
      </c>
      <c r="H21">
        <f t="shared" si="7"/>
        <v>2.1032504780114749</v>
      </c>
      <c r="I21">
        <f t="shared" si="3"/>
        <v>4.5261269786476381</v>
      </c>
      <c r="J21">
        <f t="shared" si="4"/>
        <v>9.4218083646244359</v>
      </c>
      <c r="K21">
        <f t="shared" si="5"/>
        <v>35.007634242999821</v>
      </c>
      <c r="L21">
        <v>36286.7109375</v>
      </c>
      <c r="M21">
        <f t="shared" si="6"/>
        <v>10.49920686334965</v>
      </c>
    </row>
    <row r="22" spans="1:13">
      <c r="A22" s="1">
        <v>45285</v>
      </c>
      <c r="B22">
        <v>106.4</v>
      </c>
      <c r="C22" s="7">
        <v>83553</v>
      </c>
      <c r="D22" s="7">
        <f t="shared" si="1"/>
        <v>13283.867080245667</v>
      </c>
      <c r="E22">
        <v>15962439</v>
      </c>
      <c r="F22">
        <f t="shared" si="2"/>
        <v>1596243900000000</v>
      </c>
      <c r="G22" s="8">
        <v>106.7</v>
      </c>
      <c r="H22">
        <f t="shared" si="7"/>
        <v>2.4975984630163386</v>
      </c>
      <c r="I22">
        <f t="shared" si="3"/>
        <v>4.667205576907544</v>
      </c>
      <c r="J22">
        <f t="shared" si="4"/>
        <v>9.4943055764427875</v>
      </c>
      <c r="K22">
        <f t="shared" si="5"/>
        <v>35.006429701811456</v>
      </c>
      <c r="L22">
        <v>33464.171875</v>
      </c>
      <c r="M22">
        <f t="shared" si="6"/>
        <v>10.418230649225269</v>
      </c>
    </row>
    <row r="23" spans="1:13">
      <c r="A23" s="1">
        <v>45255</v>
      </c>
      <c r="B23">
        <v>106.9</v>
      </c>
      <c r="C23" s="7">
        <v>88790</v>
      </c>
      <c r="D23" s="7">
        <f t="shared" si="1"/>
        <v>14116.483645769904</v>
      </c>
      <c r="E23">
        <v>15943279</v>
      </c>
      <c r="F23">
        <f t="shared" si="2"/>
        <v>1594327900000000</v>
      </c>
      <c r="G23" s="8">
        <v>106.8</v>
      </c>
      <c r="H23">
        <f t="shared" si="7"/>
        <v>2.8901734104046244</v>
      </c>
      <c r="I23">
        <f t="shared" si="3"/>
        <v>4.6718938180309992</v>
      </c>
      <c r="J23">
        <f t="shared" si="4"/>
        <v>9.5550984464475199</v>
      </c>
      <c r="K23">
        <f t="shared" si="5"/>
        <v>35.005228663031936</v>
      </c>
      <c r="L23">
        <v>33486.890625</v>
      </c>
      <c r="M23">
        <f t="shared" si="6"/>
        <v>10.41890931659883</v>
      </c>
    </row>
    <row r="24" spans="1:13">
      <c r="A24" s="1">
        <v>45224</v>
      </c>
      <c r="B24">
        <v>106.3</v>
      </c>
      <c r="C24" s="7">
        <v>86869</v>
      </c>
      <c r="D24" s="7">
        <f t="shared" si="1"/>
        <v>13811.069014803308</v>
      </c>
      <c r="E24">
        <v>15905213</v>
      </c>
      <c r="F24">
        <f t="shared" si="2"/>
        <v>1590521300000000</v>
      </c>
      <c r="G24" s="8">
        <v>107</v>
      </c>
      <c r="H24">
        <f t="shared" si="7"/>
        <v>3.3816425120772946</v>
      </c>
      <c r="I24">
        <f t="shared" si="3"/>
        <v>4.6662652853479019</v>
      </c>
      <c r="J24">
        <f t="shared" si="4"/>
        <v>9.5332256521549592</v>
      </c>
      <c r="K24">
        <f t="shared" si="5"/>
        <v>35.002838219043163</v>
      </c>
      <c r="L24">
        <v>30858.849609375</v>
      </c>
      <c r="M24">
        <f t="shared" si="6"/>
        <v>10.337178847496299</v>
      </c>
    </row>
    <row r="25" spans="1:13">
      <c r="A25" s="1">
        <v>45194</v>
      </c>
      <c r="B25">
        <v>107</v>
      </c>
      <c r="C25" s="7">
        <v>79754</v>
      </c>
      <c r="D25" s="7">
        <f t="shared" si="1"/>
        <v>12679.87427283177</v>
      </c>
      <c r="E25">
        <v>15918249</v>
      </c>
      <c r="F25">
        <f t="shared" si="2"/>
        <v>1591824900000000</v>
      </c>
      <c r="G25" s="8">
        <v>106.3</v>
      </c>
      <c r="H25">
        <f t="shared" si="7"/>
        <v>3.1037827352085383</v>
      </c>
      <c r="I25">
        <f t="shared" si="3"/>
        <v>4.6728288344619058</v>
      </c>
      <c r="J25">
        <f t="shared" si="4"/>
        <v>9.4477713125502429</v>
      </c>
      <c r="K25">
        <f t="shared" si="5"/>
        <v>35.003657488846628</v>
      </c>
      <c r="L25">
        <v>31857.619140625</v>
      </c>
      <c r="M25">
        <f t="shared" si="6"/>
        <v>10.369031851877763</v>
      </c>
    </row>
    <row r="26" spans="1:13">
      <c r="A26" s="1">
        <v>45163</v>
      </c>
      <c r="B26">
        <v>96.1</v>
      </c>
      <c r="C26" s="7">
        <v>73583</v>
      </c>
      <c r="D26" s="7">
        <f t="shared" si="1"/>
        <v>11698.763555655894</v>
      </c>
      <c r="E26">
        <v>15943646</v>
      </c>
      <c r="F26">
        <f t="shared" si="2"/>
        <v>1594364600000000</v>
      </c>
      <c r="G26" s="8">
        <v>105.9</v>
      </c>
      <c r="H26">
        <f t="shared" si="7"/>
        <v>3.216374269005859</v>
      </c>
      <c r="I26">
        <f t="shared" si="3"/>
        <v>4.5653893159762466</v>
      </c>
      <c r="J26">
        <f t="shared" si="4"/>
        <v>9.3672384361976579</v>
      </c>
      <c r="K26">
        <f t="shared" si="5"/>
        <v>35.005251681871165</v>
      </c>
      <c r="L26">
        <v>32619.33984375</v>
      </c>
      <c r="M26">
        <f t="shared" si="6"/>
        <v>10.392660638194315</v>
      </c>
    </row>
    <row r="27" spans="1:13">
      <c r="A27" s="1">
        <v>45132</v>
      </c>
      <c r="B27">
        <v>105.1</v>
      </c>
      <c r="C27" s="7">
        <v>72112</v>
      </c>
      <c r="D27" s="7">
        <f t="shared" si="1"/>
        <v>11464.893216170281</v>
      </c>
      <c r="E27">
        <v>15949800</v>
      </c>
      <c r="F27">
        <f t="shared" si="2"/>
        <v>1594980000000000</v>
      </c>
      <c r="G27" s="8">
        <v>105.7</v>
      </c>
      <c r="H27">
        <f t="shared" si="7"/>
        <v>3.3235581622678452</v>
      </c>
      <c r="I27">
        <f t="shared" si="3"/>
        <v>4.6549122778829055</v>
      </c>
      <c r="J27">
        <f t="shared" si="4"/>
        <v>9.347044881351577</v>
      </c>
      <c r="K27">
        <f t="shared" si="5"/>
        <v>35.005637591883925</v>
      </c>
      <c r="L27">
        <v>33172.21875</v>
      </c>
      <c r="M27">
        <f t="shared" si="6"/>
        <v>10.409468019966329</v>
      </c>
    </row>
    <row r="28" spans="1:13">
      <c r="A28" s="1">
        <v>45102</v>
      </c>
      <c r="B28">
        <v>108.2</v>
      </c>
      <c r="C28" s="7">
        <v>72085</v>
      </c>
      <c r="D28" s="7">
        <f t="shared" si="1"/>
        <v>11460.600558681423</v>
      </c>
      <c r="E28">
        <v>15942425</v>
      </c>
      <c r="F28">
        <f t="shared" si="2"/>
        <v>1594242500000000</v>
      </c>
      <c r="G28" s="8">
        <v>105.3</v>
      </c>
      <c r="H28">
        <f t="shared" si="7"/>
        <v>3.2352941176470562</v>
      </c>
      <c r="I28">
        <f t="shared" si="3"/>
        <v>4.6839813664123815</v>
      </c>
      <c r="J28">
        <f t="shared" si="4"/>
        <v>9.3466703936671518</v>
      </c>
      <c r="K28">
        <f t="shared" si="5"/>
        <v>35.005175096706402</v>
      </c>
      <c r="L28">
        <v>33189.0390625</v>
      </c>
      <c r="M28">
        <f t="shared" si="6"/>
        <v>10.409974951673613</v>
      </c>
    </row>
    <row r="29" spans="1:13">
      <c r="A29" s="1">
        <v>45071</v>
      </c>
      <c r="B29">
        <v>96.6</v>
      </c>
      <c r="C29" s="7">
        <v>73623</v>
      </c>
      <c r="D29" s="7">
        <f t="shared" si="1"/>
        <v>11705.123048231981</v>
      </c>
      <c r="E29">
        <v>15904516</v>
      </c>
      <c r="F29">
        <f t="shared" si="2"/>
        <v>1590451600000000</v>
      </c>
      <c r="G29" s="8">
        <v>105.1</v>
      </c>
      <c r="H29">
        <f t="shared" si="7"/>
        <v>3.2416502946954786</v>
      </c>
      <c r="I29">
        <f t="shared" si="3"/>
        <v>4.5705787412184726</v>
      </c>
      <c r="J29">
        <f t="shared" si="4"/>
        <v>9.3677818923201599</v>
      </c>
      <c r="K29">
        <f t="shared" si="5"/>
        <v>35.00279439597255</v>
      </c>
      <c r="L29">
        <v>30887.880859375</v>
      </c>
      <c r="M29">
        <f t="shared" si="6"/>
        <v>10.338119180755042</v>
      </c>
    </row>
    <row r="30" spans="1:13">
      <c r="A30" s="1">
        <v>45041</v>
      </c>
      <c r="B30">
        <v>102.5</v>
      </c>
      <c r="C30" s="7">
        <v>69431</v>
      </c>
      <c r="D30" s="7">
        <f t="shared" si="1"/>
        <v>11038.648226258027</v>
      </c>
      <c r="E30">
        <v>15873481</v>
      </c>
      <c r="F30">
        <f t="shared" si="2"/>
        <v>1587348100000000</v>
      </c>
      <c r="G30" s="8">
        <v>105</v>
      </c>
      <c r="H30">
        <f t="shared" si="7"/>
        <v>3.4482758620689653</v>
      </c>
      <c r="I30">
        <f t="shared" si="3"/>
        <v>4.6298627985784631</v>
      </c>
      <c r="J30">
        <f t="shared" si="4"/>
        <v>9.3091578690605665</v>
      </c>
      <c r="K30">
        <f t="shared" si="5"/>
        <v>35.000841157077922</v>
      </c>
      <c r="L30">
        <v>28856.439453125</v>
      </c>
      <c r="M30">
        <f t="shared" si="6"/>
        <v>10.270088451644186</v>
      </c>
    </row>
    <row r="31" spans="1:13">
      <c r="A31" s="1">
        <v>45010</v>
      </c>
      <c r="B31">
        <v>117.3</v>
      </c>
      <c r="C31" s="7">
        <v>72488</v>
      </c>
      <c r="D31" s="7">
        <f t="shared" si="1"/>
        <v>11524.672446385503</v>
      </c>
      <c r="E31">
        <v>15681922</v>
      </c>
      <c r="F31">
        <f t="shared" si="2"/>
        <v>1568192200000000</v>
      </c>
      <c r="G31" s="8">
        <v>104.5</v>
      </c>
      <c r="H31">
        <f t="shared" si="7"/>
        <v>3.1589338598223127</v>
      </c>
      <c r="I31">
        <f t="shared" si="3"/>
        <v>4.7647347556594299</v>
      </c>
      <c r="J31">
        <f t="shared" si="4"/>
        <v>9.3522454463230442</v>
      </c>
      <c r="K31">
        <f t="shared" si="5"/>
        <v>34.988699885857628</v>
      </c>
      <c r="L31">
        <v>28041.48046875</v>
      </c>
      <c r="M31">
        <f t="shared" si="6"/>
        <v>10.241440138212297</v>
      </c>
    </row>
    <row r="32" spans="1:13">
      <c r="A32" s="1">
        <v>44982</v>
      </c>
      <c r="B32">
        <v>100.9</v>
      </c>
      <c r="C32" s="7">
        <v>72068</v>
      </c>
      <c r="D32" s="7">
        <f t="shared" si="1"/>
        <v>11457.897774336585</v>
      </c>
      <c r="E32">
        <v>15648243</v>
      </c>
      <c r="F32">
        <f t="shared" si="2"/>
        <v>1564824300000000</v>
      </c>
      <c r="G32" s="8">
        <v>104.2</v>
      </c>
      <c r="H32">
        <f t="shared" si="7"/>
        <v>3.2705649157581735</v>
      </c>
      <c r="I32">
        <f t="shared" si="3"/>
        <v>4.6141299273595635</v>
      </c>
      <c r="J32">
        <f t="shared" si="4"/>
        <v>9.3464345331567387</v>
      </c>
      <c r="K32">
        <f t="shared" si="5"/>
        <v>34.98654994422963</v>
      </c>
      <c r="L32">
        <v>27445.560546875</v>
      </c>
      <c r="M32">
        <f t="shared" si="6"/>
        <v>10.219959705146886</v>
      </c>
    </row>
    <row r="33" spans="1:13">
      <c r="A33" s="1">
        <v>44951</v>
      </c>
      <c r="B33">
        <v>93.8</v>
      </c>
      <c r="C33" s="7">
        <v>73339</v>
      </c>
      <c r="D33" s="7">
        <f t="shared" si="1"/>
        <v>11659.970650941761</v>
      </c>
      <c r="E33">
        <v>15696317</v>
      </c>
      <c r="F33">
        <f t="shared" si="2"/>
        <v>1569631700000000</v>
      </c>
      <c r="G33" s="8">
        <v>104.6</v>
      </c>
      <c r="H33">
        <f t="shared" si="7"/>
        <v>4.2871385842472556</v>
      </c>
      <c r="I33">
        <f t="shared" si="3"/>
        <v>4.5411648560121787</v>
      </c>
      <c r="J33">
        <f t="shared" si="4"/>
        <v>9.3639169428294249</v>
      </c>
      <c r="K33">
        <f t="shared" si="5"/>
        <v>34.989617400764047</v>
      </c>
      <c r="L33">
        <v>27327.109375</v>
      </c>
      <c r="M33">
        <f t="shared" si="6"/>
        <v>10.215634505856697</v>
      </c>
    </row>
    <row r="34" spans="1:13">
      <c r="A34" s="1">
        <v>44920</v>
      </c>
      <c r="B34" s="2">
        <v>104.9</v>
      </c>
      <c r="C34" s="7">
        <v>82540</v>
      </c>
      <c r="D34" s="7">
        <f t="shared" si="1"/>
        <v>13122.812930756254</v>
      </c>
      <c r="E34">
        <v>15693481</v>
      </c>
      <c r="F34">
        <f t="shared" si="2"/>
        <v>1569348100000000</v>
      </c>
      <c r="G34" s="8">
        <v>104.1</v>
      </c>
      <c r="H34">
        <f t="shared" si="7"/>
        <v>3.9960039960039961</v>
      </c>
      <c r="I34">
        <f t="shared" si="3"/>
        <v>4.6530075154022512</v>
      </c>
      <c r="J34">
        <f t="shared" si="4"/>
        <v>9.4821074397277201</v>
      </c>
      <c r="K34">
        <f t="shared" si="5"/>
        <v>34.989436705112055</v>
      </c>
      <c r="L34">
        <v>26094.5</v>
      </c>
      <c r="M34">
        <f t="shared" si="6"/>
        <v>10.169479843135178</v>
      </c>
    </row>
    <row r="35" spans="1:13">
      <c r="A35" s="1">
        <v>44890</v>
      </c>
      <c r="B35" s="2">
        <v>105.5</v>
      </c>
      <c r="C35" s="7">
        <v>92419</v>
      </c>
      <c r="D35" s="7">
        <f t="shared" si="1"/>
        <v>14693.448609735429</v>
      </c>
      <c r="E35">
        <v>15677345</v>
      </c>
      <c r="F35">
        <f t="shared" si="2"/>
        <v>1567734500000000</v>
      </c>
      <c r="G35" s="8">
        <v>103.8</v>
      </c>
      <c r="H35">
        <f t="shared" si="7"/>
        <v>3.7999999999999972</v>
      </c>
      <c r="I35">
        <f t="shared" si="3"/>
        <v>4.6587109529161213</v>
      </c>
      <c r="J35">
        <f t="shared" si="4"/>
        <v>9.5951570006180713</v>
      </c>
      <c r="K35">
        <f t="shared" si="5"/>
        <v>34.988407978522389</v>
      </c>
      <c r="L35">
        <v>27968.990234375</v>
      </c>
      <c r="M35">
        <f t="shared" si="6"/>
        <v>10.238851683805851</v>
      </c>
    </row>
    <row r="36" spans="1:13">
      <c r="A36" s="1">
        <v>44859</v>
      </c>
      <c r="B36" s="2">
        <v>105.5</v>
      </c>
      <c r="C36" s="7">
        <v>96752</v>
      </c>
      <c r="D36" s="7">
        <f t="shared" si="1"/>
        <v>15382.340643040092</v>
      </c>
      <c r="E36">
        <v>15619677</v>
      </c>
      <c r="F36">
        <f t="shared" si="2"/>
        <v>1561967700000000</v>
      </c>
      <c r="G36" s="8">
        <v>103.5</v>
      </c>
      <c r="H36">
        <f t="shared" si="7"/>
        <v>3.7074148296593217</v>
      </c>
      <c r="I36">
        <f t="shared" si="3"/>
        <v>4.6587109529161213</v>
      </c>
      <c r="J36">
        <f t="shared" si="4"/>
        <v>9.6409754189341417</v>
      </c>
      <c r="K36">
        <f t="shared" si="5"/>
        <v>34.984722767497217</v>
      </c>
      <c r="L36">
        <v>27587.4609375</v>
      </c>
      <c r="M36">
        <f t="shared" si="6"/>
        <v>10.225116634614738</v>
      </c>
    </row>
    <row r="37" spans="1:13">
      <c r="A37" s="1">
        <v>44829</v>
      </c>
      <c r="B37" s="2">
        <v>107.3</v>
      </c>
      <c r="C37" s="7">
        <v>97463</v>
      </c>
      <c r="D37" s="7">
        <f t="shared" si="1"/>
        <v>15495.380623580044</v>
      </c>
      <c r="E37">
        <v>15632476</v>
      </c>
      <c r="F37">
        <f t="shared" si="2"/>
        <v>1563247600000000</v>
      </c>
      <c r="G37" s="8">
        <v>103.1</v>
      </c>
      <c r="H37">
        <f t="shared" si="7"/>
        <v>2.9970029970029972</v>
      </c>
      <c r="I37">
        <f t="shared" si="3"/>
        <v>4.6756286496366526</v>
      </c>
      <c r="J37">
        <f t="shared" si="4"/>
        <v>9.6482972342041169</v>
      </c>
      <c r="K37">
        <f t="shared" si="5"/>
        <v>34.985541847111705</v>
      </c>
      <c r="L37">
        <v>25937.2109375</v>
      </c>
      <c r="M37">
        <f t="shared" si="6"/>
        <v>10.163433932332639</v>
      </c>
    </row>
    <row r="38" spans="1:13">
      <c r="A38" s="1">
        <v>44798</v>
      </c>
      <c r="B38" s="2">
        <v>107.8</v>
      </c>
      <c r="C38" s="7">
        <v>95661</v>
      </c>
      <c r="D38" s="7">
        <f t="shared" si="1"/>
        <v>15208.885483027309</v>
      </c>
      <c r="E38">
        <v>15649767</v>
      </c>
      <c r="F38">
        <f t="shared" si="2"/>
        <v>1564976700000000</v>
      </c>
      <c r="G38" s="8">
        <v>102.6</v>
      </c>
      <c r="H38">
        <f t="shared" si="7"/>
        <v>2.908726178535598</v>
      </c>
      <c r="I38">
        <f t="shared" si="3"/>
        <v>4.6802776584748971</v>
      </c>
      <c r="J38">
        <f t="shared" si="4"/>
        <v>9.6296351072909481</v>
      </c>
      <c r="K38">
        <f t="shared" si="5"/>
        <v>34.98664733061306</v>
      </c>
      <c r="L38">
        <v>28091.529296875</v>
      </c>
      <c r="M38">
        <f t="shared" si="6"/>
        <v>10.243223361367315</v>
      </c>
    </row>
    <row r="39" spans="1:13">
      <c r="A39" s="1">
        <v>44767</v>
      </c>
      <c r="B39" s="2">
        <v>106.3</v>
      </c>
      <c r="C39" s="7">
        <v>99600</v>
      </c>
      <c r="D39" s="7">
        <f t="shared" si="1"/>
        <v>15835.136514457512</v>
      </c>
      <c r="E39">
        <v>15648341</v>
      </c>
      <c r="F39">
        <f t="shared" si="2"/>
        <v>1564834100000000</v>
      </c>
      <c r="G39" s="8">
        <v>102.3</v>
      </c>
      <c r="H39">
        <f t="shared" si="7"/>
        <v>2.607823470411228</v>
      </c>
      <c r="I39">
        <f t="shared" si="3"/>
        <v>4.6662652853479019</v>
      </c>
      <c r="J39">
        <f t="shared" si="4"/>
        <v>9.6699865799938376</v>
      </c>
      <c r="K39">
        <f t="shared" si="5"/>
        <v>34.986556206893951</v>
      </c>
      <c r="L39">
        <v>27801.640625</v>
      </c>
      <c r="M39">
        <f t="shared" si="6"/>
        <v>10.232850313225164</v>
      </c>
    </row>
    <row r="40" spans="1:13">
      <c r="A40" s="1">
        <v>44737</v>
      </c>
      <c r="B40" s="2">
        <v>105.7</v>
      </c>
      <c r="C40" s="7">
        <v>95745</v>
      </c>
      <c r="D40" s="7">
        <f t="shared" si="1"/>
        <v>15222.240417437093</v>
      </c>
      <c r="E40">
        <v>15623264</v>
      </c>
      <c r="F40">
        <f t="shared" si="2"/>
        <v>1562326400000000</v>
      </c>
      <c r="G40" s="8">
        <v>102</v>
      </c>
      <c r="H40">
        <f t="shared" si="7"/>
        <v>2.409638554216873</v>
      </c>
      <c r="I40">
        <f t="shared" si="3"/>
        <v>4.6606048928761918</v>
      </c>
      <c r="J40">
        <f t="shared" si="4"/>
        <v>9.6305128227794139</v>
      </c>
      <c r="K40">
        <f t="shared" si="5"/>
        <v>34.984952387366597</v>
      </c>
      <c r="L40">
        <v>26393.0390625</v>
      </c>
      <c r="M40">
        <f t="shared" si="6"/>
        <v>10.180855582491867</v>
      </c>
    </row>
    <row r="41" spans="1:13">
      <c r="A41" s="1">
        <v>44706</v>
      </c>
      <c r="B41" s="2">
        <v>100.7</v>
      </c>
      <c r="C41" s="7">
        <v>87685</v>
      </c>
      <c r="D41" s="7">
        <f t="shared" si="1"/>
        <v>13940.802663355491</v>
      </c>
      <c r="E41">
        <v>15578980</v>
      </c>
      <c r="F41">
        <f t="shared" si="2"/>
        <v>1557898000000000</v>
      </c>
      <c r="G41" s="8">
        <v>101.8</v>
      </c>
      <c r="H41">
        <f t="shared" si="7"/>
        <v>2.5176233635448138</v>
      </c>
      <c r="I41">
        <f t="shared" si="3"/>
        <v>4.6121457997245168</v>
      </c>
      <c r="J41">
        <f t="shared" si="4"/>
        <v>9.5425752625245401</v>
      </c>
      <c r="K41">
        <f t="shared" si="5"/>
        <v>34.982113871666662</v>
      </c>
      <c r="L41">
        <v>27279.80078125</v>
      </c>
      <c r="M41">
        <f t="shared" si="6"/>
        <v>10.213901809190631</v>
      </c>
    </row>
    <row r="42" spans="1:13">
      <c r="A42" s="1">
        <v>44676</v>
      </c>
      <c r="B42" s="2">
        <v>105.3</v>
      </c>
      <c r="C42" s="7">
        <v>83237</v>
      </c>
      <c r="D42" s="7">
        <f t="shared" si="1"/>
        <v>13233.627088894576</v>
      </c>
      <c r="E42">
        <v>15551700</v>
      </c>
      <c r="F42">
        <f t="shared" si="2"/>
        <v>1555170000000000</v>
      </c>
      <c r="G42" s="8">
        <v>101.5</v>
      </c>
      <c r="H42">
        <f t="shared" si="7"/>
        <v>2.5252525252525251</v>
      </c>
      <c r="I42">
        <f t="shared" si="3"/>
        <v>4.6568134191399295</v>
      </c>
      <c r="J42">
        <f t="shared" si="4"/>
        <v>9.490516375914039</v>
      </c>
      <c r="K42">
        <f t="shared" si="5"/>
        <v>34.980361259325207</v>
      </c>
      <c r="L42">
        <v>26847.900390625</v>
      </c>
      <c r="M42">
        <f t="shared" si="6"/>
        <v>10.197942899137322</v>
      </c>
    </row>
    <row r="43" spans="1:13">
      <c r="A43" s="1">
        <v>44645</v>
      </c>
      <c r="B43" s="2">
        <v>105.7</v>
      </c>
      <c r="C43" s="7">
        <v>66973</v>
      </c>
      <c r="D43" s="7">
        <f t="shared" si="1"/>
        <v>10647.857407457459</v>
      </c>
      <c r="E43">
        <v>15359322</v>
      </c>
      <c r="F43">
        <f t="shared" si="2"/>
        <v>1535932200000000</v>
      </c>
      <c r="G43" s="8">
        <v>101.3</v>
      </c>
      <c r="H43">
        <f t="shared" si="7"/>
        <v>1.2999999999999972</v>
      </c>
      <c r="I43">
        <f t="shared" si="3"/>
        <v>4.6606048928761918</v>
      </c>
      <c r="J43">
        <f t="shared" si="4"/>
        <v>9.2731139684993167</v>
      </c>
      <c r="K43">
        <f t="shared" si="5"/>
        <v>34.967913888036939</v>
      </c>
      <c r="L43">
        <v>27821.4296875</v>
      </c>
      <c r="M43">
        <f t="shared" si="6"/>
        <v>10.233561854793214</v>
      </c>
    </row>
    <row r="44" spans="1:13">
      <c r="A44" s="1">
        <v>44617</v>
      </c>
      <c r="B44" s="2">
        <v>106</v>
      </c>
      <c r="C44" s="7">
        <v>62715</v>
      </c>
      <c r="D44" s="7">
        <f t="shared" si="1"/>
        <v>9970.8894227329602</v>
      </c>
      <c r="E44">
        <v>15318344</v>
      </c>
      <c r="F44">
        <f t="shared" si="2"/>
        <v>1531834400000000</v>
      </c>
      <c r="G44" s="8">
        <v>100.9</v>
      </c>
      <c r="H44">
        <f t="shared" si="7"/>
        <v>1.0010010010010011</v>
      </c>
      <c r="I44">
        <f t="shared" si="3"/>
        <v>4.6634390941120669</v>
      </c>
      <c r="J44">
        <f t="shared" si="4"/>
        <v>9.2074250688799228</v>
      </c>
      <c r="K44">
        <f t="shared" si="5"/>
        <v>34.965242366391728</v>
      </c>
      <c r="L44">
        <v>26526.8203125</v>
      </c>
      <c r="M44">
        <f t="shared" si="6"/>
        <v>10.185911587423455</v>
      </c>
    </row>
    <row r="45" spans="1:13">
      <c r="A45" s="1">
        <v>44586</v>
      </c>
      <c r="B45" s="2">
        <v>104.6</v>
      </c>
      <c r="C45" s="7">
        <v>57656</v>
      </c>
      <c r="D45" s="7">
        <f t="shared" si="1"/>
        <v>9166.572599172312</v>
      </c>
      <c r="E45">
        <v>15344038</v>
      </c>
      <c r="F45">
        <f t="shared" si="2"/>
        <v>1534403800000000</v>
      </c>
      <c r="G45" s="8">
        <v>100.3</v>
      </c>
      <c r="H45">
        <f t="shared" si="7"/>
        <v>0.50100200400801598</v>
      </c>
      <c r="I45">
        <f t="shared" si="3"/>
        <v>4.6501435516308227</v>
      </c>
      <c r="J45">
        <f t="shared" si="4"/>
        <v>9.1233187330254246</v>
      </c>
      <c r="K45">
        <f t="shared" si="5"/>
        <v>34.966918296592716</v>
      </c>
      <c r="L45">
        <v>27001.98046875</v>
      </c>
      <c r="M45">
        <f t="shared" si="6"/>
        <v>10.203665492990879</v>
      </c>
    </row>
    <row r="46" spans="1:13">
      <c r="A46" s="1">
        <v>44555</v>
      </c>
      <c r="B46" s="3">
        <v>105.4</v>
      </c>
      <c r="C46" s="7">
        <v>59013</v>
      </c>
      <c r="D46" s="7">
        <f t="shared" si="1"/>
        <v>9382.3183848160752</v>
      </c>
      <c r="E46">
        <v>15309517</v>
      </c>
      <c r="F46">
        <f t="shared" si="2"/>
        <v>1530951700000000</v>
      </c>
      <c r="G46" s="8">
        <v>100.1</v>
      </c>
      <c r="H46">
        <f t="shared" si="7"/>
        <v>0.70422535211266457</v>
      </c>
      <c r="I46">
        <f t="shared" si="3"/>
        <v>4.6577626361072619</v>
      </c>
      <c r="J46">
        <f t="shared" si="4"/>
        <v>9.1465821740209865</v>
      </c>
      <c r="K46">
        <f t="shared" si="5"/>
        <v>34.964665963080748</v>
      </c>
      <c r="L46">
        <v>28791.7109375</v>
      </c>
      <c r="M46">
        <f t="shared" si="6"/>
        <v>10.267842810027307</v>
      </c>
    </row>
    <row r="47" spans="1:13">
      <c r="A47" s="1">
        <v>44525</v>
      </c>
      <c r="B47" s="3">
        <v>107</v>
      </c>
      <c r="C47" s="7">
        <v>58835</v>
      </c>
      <c r="D47" s="7">
        <f t="shared" si="1"/>
        <v>9354.0186428524867</v>
      </c>
      <c r="E47">
        <v>15269876</v>
      </c>
      <c r="F47">
        <f t="shared" si="2"/>
        <v>1526987600000000</v>
      </c>
      <c r="G47" s="8">
        <v>100</v>
      </c>
      <c r="H47">
        <f t="shared" si="7"/>
        <v>0.60362173038228795</v>
      </c>
      <c r="I47">
        <f t="shared" si="3"/>
        <v>4.6728288344619058</v>
      </c>
      <c r="J47">
        <f t="shared" si="4"/>
        <v>9.1435613313191766</v>
      </c>
      <c r="K47">
        <f t="shared" si="5"/>
        <v>34.962073300616503</v>
      </c>
      <c r="L47">
        <v>27821.759765625</v>
      </c>
      <c r="M47">
        <f t="shared" si="6"/>
        <v>10.233573718891165</v>
      </c>
    </row>
    <row r="48" spans="1:13">
      <c r="A48" s="1">
        <v>44494</v>
      </c>
      <c r="B48" s="3">
        <v>101.4</v>
      </c>
      <c r="C48" s="7">
        <v>53907</v>
      </c>
      <c r="D48" s="7">
        <f t="shared" si="1"/>
        <v>8570.5291574785242</v>
      </c>
      <c r="E48">
        <v>15218135</v>
      </c>
      <c r="F48">
        <f t="shared" si="2"/>
        <v>1521813500000000</v>
      </c>
      <c r="G48" s="8">
        <v>99.8</v>
      </c>
      <c r="H48">
        <f t="shared" si="7"/>
        <v>0.10030090270811867</v>
      </c>
      <c r="I48">
        <f t="shared" si="3"/>
        <v>4.619073091157083</v>
      </c>
      <c r="J48">
        <f t="shared" si="4"/>
        <v>9.0560847550157106</v>
      </c>
      <c r="K48">
        <f t="shared" si="5"/>
        <v>34.958679110705354</v>
      </c>
      <c r="L48">
        <v>28892.689453125</v>
      </c>
      <c r="M48">
        <f t="shared" si="6"/>
        <v>10.27134388200124</v>
      </c>
    </row>
    <row r="49" spans="1:13">
      <c r="A49" s="1">
        <v>44464</v>
      </c>
      <c r="B49" s="3">
        <v>98.8</v>
      </c>
      <c r="C49" s="7">
        <v>51046</v>
      </c>
      <c r="D49" s="7">
        <f t="shared" si="1"/>
        <v>8115.6664509738766</v>
      </c>
      <c r="E49">
        <v>15200540</v>
      </c>
      <c r="F49">
        <f t="shared" si="2"/>
        <v>1520054000000000</v>
      </c>
      <c r="G49" s="8">
        <v>100.1</v>
      </c>
      <c r="H49">
        <f t="shared" si="7"/>
        <v>0.2002002002001888</v>
      </c>
      <c r="I49">
        <f t="shared" si="3"/>
        <v>4.5930976047538223</v>
      </c>
      <c r="J49">
        <f t="shared" si="4"/>
        <v>9.0015516023897213</v>
      </c>
      <c r="K49">
        <f t="shared" si="5"/>
        <v>34.957522255453618</v>
      </c>
      <c r="L49">
        <v>29452.66015625</v>
      </c>
      <c r="M49">
        <f t="shared" si="6"/>
        <v>10.290539512886662</v>
      </c>
    </row>
    <row r="50" spans="1:13">
      <c r="A50" s="1">
        <v>44433</v>
      </c>
      <c r="B50" s="3">
        <v>103.8</v>
      </c>
      <c r="C50" s="7">
        <v>51002</v>
      </c>
      <c r="D50" s="7">
        <f t="shared" si="1"/>
        <v>8108.6710091401801</v>
      </c>
      <c r="E50">
        <v>15198803</v>
      </c>
      <c r="F50">
        <f t="shared" si="2"/>
        <v>1519880300000000</v>
      </c>
      <c r="G50" s="8">
        <v>99.7</v>
      </c>
      <c r="H50">
        <f t="shared" si="7"/>
        <v>-0.39960039960039112</v>
      </c>
      <c r="I50">
        <f t="shared" si="3"/>
        <v>4.6424659707317879</v>
      </c>
      <c r="J50">
        <f t="shared" si="4"/>
        <v>9.0006892630449702</v>
      </c>
      <c r="K50">
        <f t="shared" si="5"/>
        <v>34.957407976667923</v>
      </c>
      <c r="L50">
        <v>28089.5390625</v>
      </c>
      <c r="M50">
        <f t="shared" si="6"/>
        <v>10.243152510654292</v>
      </c>
    </row>
    <row r="51" spans="1:13">
      <c r="A51" s="1">
        <v>44402</v>
      </c>
      <c r="B51" s="3">
        <v>107.4</v>
      </c>
      <c r="C51" s="7">
        <v>49902</v>
      </c>
      <c r="D51" s="7">
        <f t="shared" si="1"/>
        <v>7933.7849632977786</v>
      </c>
      <c r="E51">
        <v>15195437</v>
      </c>
      <c r="F51">
        <f t="shared" si="2"/>
        <v>1519543700000000</v>
      </c>
      <c r="G51" s="8">
        <v>99.7</v>
      </c>
      <c r="H51">
        <f t="shared" si="7"/>
        <v>-0.39960039960039112</v>
      </c>
      <c r="I51">
        <f t="shared" si="3"/>
        <v>4.6765601820747644</v>
      </c>
      <c r="J51">
        <f t="shared" si="4"/>
        <v>8.97888549751789</v>
      </c>
      <c r="K51">
        <f t="shared" si="5"/>
        <v>34.957186487332201</v>
      </c>
      <c r="L51">
        <v>27283.58984375</v>
      </c>
      <c r="M51">
        <f t="shared" si="6"/>
        <v>10.214040695812693</v>
      </c>
    </row>
    <row r="52" spans="1:13">
      <c r="A52" s="1">
        <v>44372</v>
      </c>
      <c r="B52" s="3">
        <v>109</v>
      </c>
      <c r="C52" s="7">
        <v>47614</v>
      </c>
      <c r="D52" s="7">
        <f t="shared" si="1"/>
        <v>7570.0219879455817</v>
      </c>
      <c r="E52">
        <v>15176271</v>
      </c>
      <c r="F52">
        <f t="shared" si="2"/>
        <v>1517627100000000</v>
      </c>
      <c r="G52" s="8">
        <v>99.6</v>
      </c>
      <c r="H52">
        <f t="shared" si="7"/>
        <v>-0.49950049950049952</v>
      </c>
      <c r="I52">
        <f t="shared" si="3"/>
        <v>4.6913478822291435</v>
      </c>
      <c r="J52">
        <f t="shared" si="4"/>
        <v>8.9319512510436017</v>
      </c>
      <c r="K52">
        <f t="shared" si="5"/>
        <v>34.955924391532776</v>
      </c>
      <c r="L52">
        <v>28791.529296875</v>
      </c>
      <c r="M52">
        <f t="shared" si="6"/>
        <v>10.267836501225501</v>
      </c>
    </row>
    <row r="53" spans="1:13">
      <c r="A53" s="1">
        <v>44341</v>
      </c>
      <c r="B53" s="3">
        <v>104.8</v>
      </c>
      <c r="C53" s="7">
        <v>44883</v>
      </c>
      <c r="D53" s="7">
        <f t="shared" si="1"/>
        <v>7135.8276323132177</v>
      </c>
      <c r="E53">
        <v>15145502</v>
      </c>
      <c r="F53">
        <f t="shared" si="2"/>
        <v>1514550200000000</v>
      </c>
      <c r="G53" s="8">
        <v>99.3</v>
      </c>
      <c r="H53">
        <f t="shared" si="7"/>
        <v>-0.79920079920079645</v>
      </c>
      <c r="I53">
        <f t="shared" si="3"/>
        <v>4.6520537718869415</v>
      </c>
      <c r="J53">
        <f t="shared" si="4"/>
        <v>8.872883519303489</v>
      </c>
      <c r="K53">
        <f t="shared" si="5"/>
        <v>34.953894892099406</v>
      </c>
      <c r="L53">
        <v>28860.080078125</v>
      </c>
      <c r="M53">
        <f t="shared" si="6"/>
        <v>10.270214607033818</v>
      </c>
    </row>
    <row r="54" spans="1:13">
      <c r="A54" s="1">
        <v>44311</v>
      </c>
      <c r="B54" s="3">
        <v>108.8</v>
      </c>
      <c r="C54" s="7">
        <v>45702</v>
      </c>
      <c r="D54" s="7">
        <f t="shared" si="1"/>
        <v>7266.0382428086059</v>
      </c>
      <c r="E54">
        <v>15082268</v>
      </c>
      <c r="F54">
        <f t="shared" si="2"/>
        <v>1508226800000000</v>
      </c>
      <c r="G54" s="8">
        <v>99</v>
      </c>
      <c r="H54">
        <f t="shared" si="7"/>
        <v>-1.1976047904191645</v>
      </c>
      <c r="I54">
        <f t="shared" si="3"/>
        <v>4.6895113344218426</v>
      </c>
      <c r="J54">
        <f t="shared" si="4"/>
        <v>8.8909664760219904</v>
      </c>
      <c r="K54">
        <f t="shared" si="5"/>
        <v>34.949711051065805</v>
      </c>
      <c r="L54">
        <v>28812.630859375</v>
      </c>
      <c r="M54">
        <f t="shared" si="6"/>
        <v>10.26856914148574</v>
      </c>
    </row>
    <row r="55" spans="1:13">
      <c r="A55" s="1">
        <v>44280</v>
      </c>
      <c r="B55" s="3">
        <v>106.5</v>
      </c>
      <c r="C55" s="7">
        <v>41547</v>
      </c>
      <c r="D55" s="7">
        <f t="shared" si="1"/>
        <v>6605.4459514675327</v>
      </c>
      <c r="E55">
        <v>14895043</v>
      </c>
      <c r="F55">
        <f t="shared" si="2"/>
        <v>1489504300000000</v>
      </c>
      <c r="G55" s="8">
        <v>100</v>
      </c>
      <c r="H55">
        <f t="shared" si="7"/>
        <v>-0.39840637450199767</v>
      </c>
      <c r="I55">
        <f t="shared" si="3"/>
        <v>4.6681449851494801</v>
      </c>
      <c r="J55">
        <f t="shared" si="4"/>
        <v>8.7956497319319755</v>
      </c>
      <c r="K55">
        <f t="shared" si="5"/>
        <v>34.93721977495251</v>
      </c>
      <c r="L55">
        <v>29178.80078125</v>
      </c>
      <c r="M55">
        <f t="shared" si="6"/>
        <v>10.281197723948161</v>
      </c>
    </row>
    <row r="56" spans="1:13">
      <c r="A56" s="1">
        <v>44252</v>
      </c>
      <c r="B56" s="3">
        <v>105.9</v>
      </c>
      <c r="C56" s="7">
        <v>36686</v>
      </c>
      <c r="D56" s="7">
        <f t="shared" si="1"/>
        <v>5832.6086161585163</v>
      </c>
      <c r="E56">
        <v>14846612</v>
      </c>
      <c r="F56">
        <f t="shared" si="2"/>
        <v>1484661200000000</v>
      </c>
      <c r="G56" s="8">
        <v>99.9</v>
      </c>
      <c r="H56">
        <f t="shared" si="7"/>
        <v>-0.49800796812749004</v>
      </c>
      <c r="I56">
        <f t="shared" si="3"/>
        <v>4.6624952526073606</v>
      </c>
      <c r="J56">
        <f t="shared" si="4"/>
        <v>8.6712196262954429</v>
      </c>
      <c r="K56">
        <f t="shared" si="5"/>
        <v>34.933962992987453</v>
      </c>
      <c r="L56">
        <v>28966.009765625</v>
      </c>
      <c r="M56">
        <f t="shared" si="6"/>
        <v>10.273878344501703</v>
      </c>
    </row>
    <row r="57" spans="1:13">
      <c r="A57" s="1">
        <v>44221</v>
      </c>
      <c r="B57" s="3">
        <v>106.4</v>
      </c>
      <c r="C57" s="7">
        <v>32682</v>
      </c>
      <c r="D57" s="7">
        <f t="shared" si="1"/>
        <v>5196.0234092921728</v>
      </c>
      <c r="E57">
        <v>14860492</v>
      </c>
      <c r="F57">
        <f t="shared" si="2"/>
        <v>1486049200000000</v>
      </c>
      <c r="G57" s="8">
        <v>99.8</v>
      </c>
      <c r="H57">
        <f t="shared" si="7"/>
        <v>-0.69651741293532621</v>
      </c>
      <c r="I57">
        <f t="shared" si="3"/>
        <v>4.667205576907544</v>
      </c>
      <c r="J57">
        <f t="shared" si="4"/>
        <v>8.5556488830328767</v>
      </c>
      <c r="K57">
        <f t="shared" si="5"/>
        <v>34.93489744967566</v>
      </c>
      <c r="L57">
        <v>27663.390625</v>
      </c>
      <c r="M57">
        <f t="shared" si="6"/>
        <v>10.227865179954893</v>
      </c>
    </row>
    <row r="58" spans="1:13">
      <c r="A58" s="1">
        <v>44190</v>
      </c>
      <c r="B58" s="4">
        <v>103.2</v>
      </c>
      <c r="C58" s="7">
        <v>29179</v>
      </c>
      <c r="D58" s="7">
        <f t="shared" si="1"/>
        <v>4639.0908469413225</v>
      </c>
      <c r="E58">
        <v>14813455</v>
      </c>
      <c r="F58">
        <f t="shared" si="2"/>
        <v>1481345500000000</v>
      </c>
      <c r="G58" s="8">
        <v>99.4</v>
      </c>
      <c r="H58">
        <f t="shared" si="7"/>
        <v>-1.094527363184074</v>
      </c>
      <c r="I58">
        <f t="shared" si="3"/>
        <v>4.6366688530474622</v>
      </c>
      <c r="J58">
        <f t="shared" si="4"/>
        <v>8.4422736878627145</v>
      </c>
      <c r="K58">
        <f t="shared" si="5"/>
        <v>34.931727191307559</v>
      </c>
      <c r="L58">
        <v>27444.169921875</v>
      </c>
      <c r="M58">
        <f t="shared" si="6"/>
        <v>10.219909035377206</v>
      </c>
    </row>
    <row r="59" spans="1:13">
      <c r="A59" s="1">
        <v>44160</v>
      </c>
      <c r="B59" s="4">
        <v>103.7</v>
      </c>
      <c r="C59" s="7">
        <v>27862</v>
      </c>
      <c r="D59" s="7">
        <f t="shared" si="1"/>
        <v>4429.7045538736465</v>
      </c>
      <c r="E59">
        <v>14747880</v>
      </c>
      <c r="F59">
        <f t="shared" si="2"/>
        <v>1474788000000000</v>
      </c>
      <c r="G59" s="8">
        <v>99.4</v>
      </c>
      <c r="H59">
        <f t="shared" si="7"/>
        <v>-0.99601593625498008</v>
      </c>
      <c r="I59">
        <f t="shared" si="3"/>
        <v>4.6415021152354816</v>
      </c>
      <c r="J59">
        <f t="shared" si="4"/>
        <v>8.3960881686873172</v>
      </c>
      <c r="K59">
        <f t="shared" si="5"/>
        <v>34.927290645558934</v>
      </c>
      <c r="L59">
        <v>26433.619140625</v>
      </c>
      <c r="M59">
        <f t="shared" si="6"/>
        <v>10.182391931278154</v>
      </c>
    </row>
    <row r="60" spans="1:13">
      <c r="A60" s="1">
        <v>44129</v>
      </c>
      <c r="B60" s="4">
        <v>103.6</v>
      </c>
      <c r="C60" s="7">
        <v>29554</v>
      </c>
      <c r="D60" s="7">
        <f t="shared" si="1"/>
        <v>4698.7110898421415</v>
      </c>
      <c r="E60">
        <v>14671488</v>
      </c>
      <c r="F60">
        <f t="shared" si="2"/>
        <v>1467148800000000</v>
      </c>
      <c r="G60" s="8">
        <v>99.7</v>
      </c>
      <c r="H60">
        <f t="shared" si="7"/>
        <v>-0.49900199600798401</v>
      </c>
      <c r="I60">
        <f t="shared" si="3"/>
        <v>4.6405373298253823</v>
      </c>
      <c r="J60">
        <f t="shared" si="4"/>
        <v>8.4550435138847266</v>
      </c>
      <c r="K60">
        <f t="shared" si="5"/>
        <v>34.922097320420548</v>
      </c>
      <c r="L60">
        <v>22977.130859375</v>
      </c>
      <c r="M60">
        <f t="shared" si="6"/>
        <v>10.042254689794762</v>
      </c>
    </row>
    <row r="61" spans="1:13">
      <c r="A61" s="1">
        <v>44099</v>
      </c>
      <c r="B61" s="4">
        <v>100.5</v>
      </c>
      <c r="C61" s="7">
        <v>30803</v>
      </c>
      <c r="D61" s="7">
        <f t="shared" si="1"/>
        <v>4897.2862455304694</v>
      </c>
      <c r="E61">
        <v>14652371</v>
      </c>
      <c r="F61">
        <f t="shared" si="2"/>
        <v>1465237100000000</v>
      </c>
      <c r="G61" s="8">
        <v>99.9</v>
      </c>
      <c r="H61">
        <f t="shared" si="7"/>
        <v>-0.19980019980018843</v>
      </c>
      <c r="I61">
        <f t="shared" si="3"/>
        <v>4.6101577274991303</v>
      </c>
      <c r="J61">
        <f t="shared" si="4"/>
        <v>8.4964365032368914</v>
      </c>
      <c r="K61">
        <f t="shared" si="5"/>
        <v>34.920793467287965</v>
      </c>
      <c r="L61">
        <v>23185.119140625</v>
      </c>
      <c r="M61">
        <f t="shared" si="6"/>
        <v>10.051265935506557</v>
      </c>
    </row>
    <row r="62" spans="1:13">
      <c r="A62" s="1">
        <v>44068</v>
      </c>
      <c r="B62" s="4">
        <v>97.2</v>
      </c>
      <c r="C62" s="7">
        <v>29007</v>
      </c>
      <c r="D62" s="7">
        <f t="shared" si="1"/>
        <v>4611.7450288641467</v>
      </c>
      <c r="E62">
        <v>14599821</v>
      </c>
      <c r="F62">
        <f t="shared" si="2"/>
        <v>1459982100000000</v>
      </c>
      <c r="G62" s="8">
        <v>100.1</v>
      </c>
      <c r="H62">
        <f t="shared" si="7"/>
        <v>9.9999999999994316E-2</v>
      </c>
      <c r="I62">
        <f t="shared" si="3"/>
        <v>4.5767707114663931</v>
      </c>
      <c r="J62">
        <f t="shared" si="4"/>
        <v>8.4363615955728051</v>
      </c>
      <c r="K62">
        <f t="shared" si="5"/>
        <v>34.9172005702818</v>
      </c>
      <c r="L62">
        <v>23139.759765625</v>
      </c>
      <c r="M62">
        <f t="shared" si="6"/>
        <v>10.049307618914391</v>
      </c>
    </row>
    <row r="63" spans="1:13">
      <c r="A63" s="1">
        <v>44037</v>
      </c>
      <c r="B63" s="4">
        <v>95.3</v>
      </c>
      <c r="C63" s="7">
        <v>22175</v>
      </c>
      <c r="D63" s="7">
        <f t="shared" si="1"/>
        <v>3525.5436968684267</v>
      </c>
      <c r="E63">
        <v>14524277</v>
      </c>
      <c r="F63">
        <f t="shared" si="2"/>
        <v>1452427700000000</v>
      </c>
      <c r="G63" s="8">
        <v>100.1</v>
      </c>
      <c r="H63">
        <f t="shared" si="7"/>
        <v>0.2002002002001888</v>
      </c>
      <c r="I63">
        <f t="shared" si="3"/>
        <v>4.5570298106601568</v>
      </c>
      <c r="J63">
        <f t="shared" si="4"/>
        <v>8.1677899435989278</v>
      </c>
      <c r="K63">
        <f t="shared" si="5"/>
        <v>34.912012827167885</v>
      </c>
      <c r="L63">
        <v>21710</v>
      </c>
      <c r="M63">
        <f t="shared" si="6"/>
        <v>9.9855282628723376</v>
      </c>
    </row>
    <row r="64" spans="1:13">
      <c r="A64" s="1">
        <v>44007</v>
      </c>
      <c r="B64" s="4">
        <v>89.4</v>
      </c>
      <c r="C64" s="7">
        <v>16700</v>
      </c>
      <c r="D64" s="7">
        <f t="shared" si="1"/>
        <v>2655.0881505164703</v>
      </c>
      <c r="E64">
        <v>14425302</v>
      </c>
      <c r="F64">
        <f t="shared" si="2"/>
        <v>1442530200000000</v>
      </c>
      <c r="G64" s="8">
        <v>100.1</v>
      </c>
      <c r="H64">
        <f t="shared" si="7"/>
        <v>0.2002002002001888</v>
      </c>
      <c r="I64">
        <f t="shared" si="3"/>
        <v>4.4931206821794687</v>
      </c>
      <c r="J64">
        <f t="shared" si="4"/>
        <v>7.884233134825994</v>
      </c>
      <c r="K64">
        <f t="shared" si="5"/>
        <v>34.905175049966864</v>
      </c>
      <c r="L64">
        <v>22288.140625</v>
      </c>
      <c r="M64">
        <f t="shared" si="6"/>
        <v>10.011810005448714</v>
      </c>
    </row>
    <row r="65" spans="1:13">
      <c r="A65" s="1">
        <v>43976</v>
      </c>
      <c r="B65" s="4">
        <v>87.6</v>
      </c>
      <c r="C65" s="7">
        <v>16810</v>
      </c>
      <c r="D65" s="7">
        <f t="shared" si="1"/>
        <v>2672.5767551007107</v>
      </c>
      <c r="E65">
        <v>14170023</v>
      </c>
      <c r="F65">
        <f t="shared" si="2"/>
        <v>1417002300000000</v>
      </c>
      <c r="G65" s="8">
        <v>100.1</v>
      </c>
      <c r="H65">
        <f t="shared" si="7"/>
        <v>0.2002002002001888</v>
      </c>
      <c r="I65">
        <f t="shared" si="3"/>
        <v>4.4727809979423458</v>
      </c>
      <c r="J65">
        <f t="shared" si="4"/>
        <v>7.8907983628238085</v>
      </c>
      <c r="K65">
        <f t="shared" si="5"/>
        <v>34.887319978765404</v>
      </c>
      <c r="L65">
        <v>21877.890625</v>
      </c>
      <c r="M65">
        <f t="shared" si="6"/>
        <v>9.9932318453528595</v>
      </c>
    </row>
    <row r="66" spans="1:13">
      <c r="A66" s="1">
        <v>43946</v>
      </c>
      <c r="B66" s="4">
        <v>95.2</v>
      </c>
      <c r="C66" s="7">
        <v>28734</v>
      </c>
      <c r="D66" s="7">
        <f t="shared" si="1"/>
        <v>4568.3414920323503</v>
      </c>
      <c r="E66">
        <v>13978017</v>
      </c>
      <c r="F66">
        <f t="shared" si="2"/>
        <v>1397801700000000</v>
      </c>
      <c r="G66" s="8">
        <v>100.2</v>
      </c>
      <c r="H66">
        <f t="shared" si="7"/>
        <v>0.20000000000000281</v>
      </c>
      <c r="I66">
        <f t="shared" si="3"/>
        <v>4.5559799417973199</v>
      </c>
      <c r="J66">
        <f t="shared" si="4"/>
        <v>8.4269055059918117</v>
      </c>
      <c r="K66">
        <f t="shared" si="5"/>
        <v>34.873677183167715</v>
      </c>
      <c r="L66">
        <v>20193.689453125</v>
      </c>
      <c r="M66">
        <f t="shared" si="6"/>
        <v>9.9131254312705721</v>
      </c>
    </row>
    <row r="67" spans="1:13">
      <c r="A67" s="1">
        <v>43915</v>
      </c>
      <c r="B67" s="4">
        <v>105.8</v>
      </c>
      <c r="C67" s="7">
        <v>42227</v>
      </c>
      <c r="D67" s="7">
        <f t="shared" si="1"/>
        <v>6713.5573252610175</v>
      </c>
      <c r="E67">
        <v>13790749</v>
      </c>
      <c r="F67">
        <f t="shared" si="2"/>
        <v>1379074900000000</v>
      </c>
      <c r="G67" s="8">
        <v>100.4</v>
      </c>
      <c r="H67">
        <f t="shared" si="7"/>
        <v>0.60120240480962783</v>
      </c>
      <c r="I67">
        <f t="shared" si="3"/>
        <v>4.6615505194241988</v>
      </c>
      <c r="J67">
        <f t="shared" si="4"/>
        <v>8.811884242280362</v>
      </c>
      <c r="K67">
        <f t="shared" si="5"/>
        <v>34.860189306967669</v>
      </c>
      <c r="L67">
        <v>18917.009765625</v>
      </c>
      <c r="M67">
        <f t="shared" si="6"/>
        <v>9.8478167839009263</v>
      </c>
    </row>
    <row r="68" spans="1:13">
      <c r="A68" s="1">
        <v>43886</v>
      </c>
      <c r="B68" s="4">
        <v>105.8</v>
      </c>
      <c r="C68" s="7">
        <v>48625</v>
      </c>
      <c r="D68" s="7">
        <f t="shared" ref="D68:D131" si="8">C68/6.28981</f>
        <v>7730.7581628061898</v>
      </c>
      <c r="E68">
        <v>13740459</v>
      </c>
      <c r="F68">
        <f t="shared" ref="F68:F131" si="9">E68*100000000</f>
        <v>1374045900000000</v>
      </c>
      <c r="G68" s="8">
        <v>100.4</v>
      </c>
      <c r="H68">
        <f t="shared" si="7"/>
        <v>0.60120240480962783</v>
      </c>
      <c r="I68">
        <f t="shared" ref="I68:I131" si="10">LN(B68)</f>
        <v>4.6615505194241988</v>
      </c>
      <c r="J68">
        <f t="shared" ref="J68:J131" si="11">LN(D68)</f>
        <v>8.952962217341895</v>
      </c>
      <c r="K68">
        <f t="shared" ref="K68:K131" si="12">LN(F68)</f>
        <v>34.856535994266409</v>
      </c>
      <c r="L68">
        <v>21142.9609375</v>
      </c>
      <c r="M68">
        <f t="shared" ref="M68:M131" si="13">LN(L68)</f>
        <v>9.9590623128849689</v>
      </c>
    </row>
    <row r="69" spans="1:13">
      <c r="A69" s="1">
        <v>43855</v>
      </c>
      <c r="B69" s="4">
        <v>108.8</v>
      </c>
      <c r="C69" s="7">
        <v>48371</v>
      </c>
      <c r="D69" s="7">
        <f t="shared" si="8"/>
        <v>7690.3753849480345</v>
      </c>
      <c r="E69">
        <v>13775113</v>
      </c>
      <c r="F69">
        <f t="shared" si="9"/>
        <v>1377511300000000</v>
      </c>
      <c r="G69" s="8">
        <v>100.5</v>
      </c>
      <c r="H69">
        <f t="shared" si="7"/>
        <v>0.80240722166499201</v>
      </c>
      <c r="I69">
        <f t="shared" si="10"/>
        <v>4.6895113344218426</v>
      </c>
      <c r="J69">
        <f t="shared" si="11"/>
        <v>8.9477248759959416</v>
      </c>
      <c r="K69">
        <f t="shared" si="12"/>
        <v>34.859054860188756</v>
      </c>
      <c r="L69">
        <v>23205.1796875</v>
      </c>
      <c r="M69">
        <f t="shared" si="13"/>
        <v>10.052130795127304</v>
      </c>
    </row>
    <row r="70" spans="1:13">
      <c r="A70" s="1">
        <v>43824</v>
      </c>
      <c r="B70" s="5">
        <v>108.2</v>
      </c>
      <c r="C70" s="7">
        <v>46076</v>
      </c>
      <c r="D70" s="7">
        <f t="shared" si="8"/>
        <v>7325.4994983950228</v>
      </c>
      <c r="E70">
        <v>13762321</v>
      </c>
      <c r="F70">
        <f t="shared" si="9"/>
        <v>1376232100000000</v>
      </c>
      <c r="G70" s="8">
        <v>100.5</v>
      </c>
      <c r="H70">
        <f t="shared" si="7"/>
        <v>0.90361445783133099</v>
      </c>
      <c r="I70">
        <f t="shared" si="10"/>
        <v>4.6839813664123815</v>
      </c>
      <c r="J70">
        <f t="shared" si="11"/>
        <v>8.8991166224675435</v>
      </c>
      <c r="K70">
        <f t="shared" si="12"/>
        <v>34.858125797522995</v>
      </c>
      <c r="L70">
        <v>23656.619140625</v>
      </c>
      <c r="M70">
        <f t="shared" si="13"/>
        <v>10.071398233857426</v>
      </c>
    </row>
    <row r="71" spans="1:13">
      <c r="A71" s="1">
        <v>43794</v>
      </c>
      <c r="B71" s="5">
        <v>107.8</v>
      </c>
      <c r="C71" s="7">
        <v>44436</v>
      </c>
      <c r="D71" s="7">
        <f t="shared" si="8"/>
        <v>7064.7603027754412</v>
      </c>
      <c r="E71">
        <v>13706709</v>
      </c>
      <c r="F71">
        <f t="shared" si="9"/>
        <v>1370670900000000</v>
      </c>
      <c r="G71" s="8">
        <v>100.4</v>
      </c>
      <c r="H71">
        <f t="shared" si="7"/>
        <v>0.60120240480962783</v>
      </c>
      <c r="I71">
        <f t="shared" si="10"/>
        <v>4.6802776584748971</v>
      </c>
      <c r="J71">
        <f t="shared" si="11"/>
        <v>8.8628743671227603</v>
      </c>
      <c r="K71">
        <f t="shared" si="12"/>
        <v>34.854076722912069</v>
      </c>
      <c r="L71">
        <v>23293.91015625</v>
      </c>
      <c r="M71">
        <f t="shared" si="13"/>
        <v>10.055947238707018</v>
      </c>
    </row>
    <row r="72" spans="1:13">
      <c r="A72" s="1">
        <v>43763</v>
      </c>
      <c r="B72" s="5">
        <v>107.9</v>
      </c>
      <c r="C72" s="7">
        <v>44134</v>
      </c>
      <c r="D72" s="7">
        <f t="shared" si="8"/>
        <v>7016.7461338259818</v>
      </c>
      <c r="E72">
        <v>13643724</v>
      </c>
      <c r="F72">
        <f t="shared" si="9"/>
        <v>1364372400000000</v>
      </c>
      <c r="G72" s="8">
        <v>100.2</v>
      </c>
      <c r="H72">
        <f t="shared" ref="H72:H135" si="14">(G72-G84)/G84*100</f>
        <v>0.20000000000000281</v>
      </c>
      <c r="I72">
        <f t="shared" si="10"/>
        <v>4.6812048722640887</v>
      </c>
      <c r="J72">
        <f t="shared" si="11"/>
        <v>8.8560548758641726</v>
      </c>
      <c r="K72">
        <f t="shared" si="12"/>
        <v>34.849470937596493</v>
      </c>
      <c r="L72">
        <v>22927.0390625</v>
      </c>
      <c r="M72">
        <f t="shared" si="13"/>
        <v>10.040072238098416</v>
      </c>
    </row>
    <row r="73" spans="1:13">
      <c r="A73" s="1">
        <v>43733</v>
      </c>
      <c r="B73" s="5">
        <v>113.4</v>
      </c>
      <c r="C73" s="7">
        <v>43125</v>
      </c>
      <c r="D73" s="7">
        <f t="shared" si="8"/>
        <v>6856.3279335941788</v>
      </c>
      <c r="E73">
        <v>13634939</v>
      </c>
      <c r="F73">
        <f t="shared" si="9"/>
        <v>1363493900000000</v>
      </c>
      <c r="G73" s="8">
        <v>100.1</v>
      </c>
      <c r="H73">
        <f t="shared" si="14"/>
        <v>0.2002002002001888</v>
      </c>
      <c r="I73">
        <f t="shared" si="10"/>
        <v>4.7309213912936521</v>
      </c>
      <c r="J73">
        <f t="shared" si="11"/>
        <v>8.8329272907548084</v>
      </c>
      <c r="K73">
        <f t="shared" si="12"/>
        <v>34.848826844423471</v>
      </c>
      <c r="L73">
        <v>21755.83984375</v>
      </c>
      <c r="M73">
        <f t="shared" si="13"/>
        <v>9.9876374990407601</v>
      </c>
    </row>
    <row r="74" spans="1:13">
      <c r="A74" s="1">
        <v>43702</v>
      </c>
      <c r="B74" s="5">
        <v>111.5</v>
      </c>
      <c r="C74" s="7">
        <v>45388</v>
      </c>
      <c r="D74" s="7">
        <f t="shared" si="8"/>
        <v>7216.1162260863202</v>
      </c>
      <c r="E74">
        <v>13626135</v>
      </c>
      <c r="F74">
        <f t="shared" si="9"/>
        <v>1362613500000000</v>
      </c>
      <c r="G74" s="8">
        <v>100</v>
      </c>
      <c r="H74">
        <f t="shared" si="14"/>
        <v>0.20040080160320925</v>
      </c>
      <c r="I74">
        <f t="shared" si="10"/>
        <v>4.7140245909001735</v>
      </c>
      <c r="J74">
        <f t="shared" si="11"/>
        <v>8.8840721683320272</v>
      </c>
      <c r="K74">
        <f t="shared" si="12"/>
        <v>34.848180941748758</v>
      </c>
      <c r="L74">
        <v>20704.369140625</v>
      </c>
      <c r="M74">
        <f t="shared" si="13"/>
        <v>9.9381000265768176</v>
      </c>
    </row>
    <row r="75" spans="1:13">
      <c r="A75" s="1">
        <v>43671</v>
      </c>
      <c r="B75" s="5">
        <v>113</v>
      </c>
      <c r="C75" s="7">
        <v>45741</v>
      </c>
      <c r="D75" s="7">
        <f t="shared" si="8"/>
        <v>7272.238748070291</v>
      </c>
      <c r="E75">
        <v>13631830</v>
      </c>
      <c r="F75">
        <f t="shared" si="9"/>
        <v>1363183000000000</v>
      </c>
      <c r="G75" s="8">
        <v>99.9</v>
      </c>
      <c r="H75">
        <f t="shared" si="14"/>
        <v>0.50301810865191143</v>
      </c>
      <c r="I75">
        <f t="shared" si="10"/>
        <v>4.7273878187123408</v>
      </c>
      <c r="J75">
        <f t="shared" si="11"/>
        <v>8.8918194664611647</v>
      </c>
      <c r="K75">
        <f t="shared" si="12"/>
        <v>34.848598801268565</v>
      </c>
      <c r="L75">
        <v>21521.529296875</v>
      </c>
      <c r="M75">
        <f t="shared" si="13"/>
        <v>9.9768090757319765</v>
      </c>
    </row>
    <row r="76" spans="1:13">
      <c r="A76" s="1">
        <v>43641</v>
      </c>
      <c r="B76" s="5">
        <v>112.8</v>
      </c>
      <c r="C76" s="7">
        <v>50014</v>
      </c>
      <c r="D76" s="7">
        <f t="shared" si="8"/>
        <v>7951.5915425108233</v>
      </c>
      <c r="E76">
        <v>13616152</v>
      </c>
      <c r="F76">
        <f t="shared" si="9"/>
        <v>1361615200000000</v>
      </c>
      <c r="G76" s="8">
        <v>99.9</v>
      </c>
      <c r="H76">
        <f t="shared" si="14"/>
        <v>0.7056451612903254</v>
      </c>
      <c r="I76">
        <f t="shared" si="10"/>
        <v>4.7256163390639587</v>
      </c>
      <c r="J76">
        <f t="shared" si="11"/>
        <v>8.9811273816387462</v>
      </c>
      <c r="K76">
        <f t="shared" si="12"/>
        <v>34.847448037022602</v>
      </c>
      <c r="L76">
        <v>21275.919921875</v>
      </c>
      <c r="M76">
        <f t="shared" si="13"/>
        <v>9.9653311920778638</v>
      </c>
    </row>
    <row r="77" spans="1:13">
      <c r="A77" s="1">
        <v>43610</v>
      </c>
      <c r="B77" s="5">
        <v>114.8</v>
      </c>
      <c r="C77" s="7">
        <v>51037</v>
      </c>
      <c r="D77" s="7">
        <f t="shared" si="8"/>
        <v>8114.2355651442567</v>
      </c>
      <c r="E77">
        <v>13602690</v>
      </c>
      <c r="F77">
        <f t="shared" si="9"/>
        <v>1360269000000000</v>
      </c>
      <c r="G77" s="8">
        <v>99.9</v>
      </c>
      <c r="H77">
        <f t="shared" si="14"/>
        <v>0.7056451612903254</v>
      </c>
      <c r="I77">
        <f t="shared" si="10"/>
        <v>4.7431914838854663</v>
      </c>
      <c r="J77">
        <f t="shared" si="11"/>
        <v>9.0013752752828911</v>
      </c>
      <c r="K77">
        <f t="shared" si="12"/>
        <v>34.846458869217614</v>
      </c>
      <c r="L77">
        <v>20601.189453125</v>
      </c>
      <c r="M77">
        <f t="shared" si="13"/>
        <v>9.9331040935537178</v>
      </c>
    </row>
    <row r="78" spans="1:13">
      <c r="A78" s="1">
        <v>43580</v>
      </c>
      <c r="B78" s="5">
        <v>112.9</v>
      </c>
      <c r="C78" s="7">
        <v>48150</v>
      </c>
      <c r="D78" s="7">
        <f t="shared" si="8"/>
        <v>7655.2391884651524</v>
      </c>
      <c r="E78">
        <v>13567501</v>
      </c>
      <c r="F78">
        <f t="shared" si="9"/>
        <v>1356750100000000</v>
      </c>
      <c r="G78" s="8">
        <v>100</v>
      </c>
      <c r="H78">
        <f t="shared" si="14"/>
        <v>0.9081735620585325</v>
      </c>
      <c r="I78">
        <f t="shared" si="10"/>
        <v>4.7265024711556167</v>
      </c>
      <c r="J78">
        <f t="shared" si="11"/>
        <v>8.9431455536474189</v>
      </c>
      <c r="K78">
        <f t="shared" si="12"/>
        <v>34.843868602577608</v>
      </c>
      <c r="L78">
        <v>22258.73046875</v>
      </c>
      <c r="M78">
        <f t="shared" si="13"/>
        <v>10.01048959125122</v>
      </c>
    </row>
    <row r="79" spans="1:13">
      <c r="A79" s="1">
        <v>43549</v>
      </c>
      <c r="B79" s="5">
        <v>113.4</v>
      </c>
      <c r="C79" s="7">
        <v>45970</v>
      </c>
      <c r="D79" s="7">
        <f t="shared" si="8"/>
        <v>7308.6468430683917</v>
      </c>
      <c r="E79">
        <v>13440891</v>
      </c>
      <c r="F79">
        <f t="shared" si="9"/>
        <v>1344089100000000</v>
      </c>
      <c r="G79" s="8">
        <v>99.8</v>
      </c>
      <c r="H79">
        <f t="shared" si="14"/>
        <v>0.40241448692152054</v>
      </c>
      <c r="I79">
        <f t="shared" si="10"/>
        <v>4.7309213912936521</v>
      </c>
      <c r="J79">
        <f t="shared" si="11"/>
        <v>8.8968134252214206</v>
      </c>
      <c r="K79">
        <f t="shared" si="12"/>
        <v>34.834492929457106</v>
      </c>
      <c r="L79">
        <v>21205.810546875</v>
      </c>
      <c r="M79">
        <f t="shared" si="13"/>
        <v>9.9620305055061493</v>
      </c>
    </row>
    <row r="80" spans="1:13">
      <c r="A80" s="1">
        <v>43521</v>
      </c>
      <c r="B80" s="5">
        <v>114.3</v>
      </c>
      <c r="C80" s="7">
        <v>42961</v>
      </c>
      <c r="D80" s="7">
        <f t="shared" si="8"/>
        <v>6830.2540140322199</v>
      </c>
      <c r="E80">
        <v>13423539</v>
      </c>
      <c r="F80">
        <f t="shared" si="9"/>
        <v>1342353900000000</v>
      </c>
      <c r="G80" s="8">
        <v>99.8</v>
      </c>
      <c r="H80">
        <f t="shared" si="14"/>
        <v>0.20080321285140845</v>
      </c>
      <c r="I80">
        <f t="shared" si="10"/>
        <v>4.7388265708007653</v>
      </c>
      <c r="J80">
        <f t="shared" si="11"/>
        <v>8.8291171428003885</v>
      </c>
      <c r="K80">
        <f t="shared" si="12"/>
        <v>34.833201109573857</v>
      </c>
      <c r="L80">
        <v>21385.16015625</v>
      </c>
      <c r="M80">
        <f t="shared" si="13"/>
        <v>9.9704525098193102</v>
      </c>
    </row>
    <row r="81" spans="1:13">
      <c r="A81" s="1">
        <v>43490</v>
      </c>
      <c r="B81" s="5">
        <v>112.5</v>
      </c>
      <c r="C81" s="7">
        <v>43110</v>
      </c>
      <c r="D81" s="7">
        <f t="shared" si="8"/>
        <v>6853.9431238781453</v>
      </c>
      <c r="E81">
        <v>13477055</v>
      </c>
      <c r="F81">
        <f t="shared" si="9"/>
        <v>1347705500000000</v>
      </c>
      <c r="G81" s="8">
        <v>99.7</v>
      </c>
      <c r="H81">
        <f t="shared" si="14"/>
        <v>0.10040160642571137</v>
      </c>
      <c r="I81">
        <f t="shared" si="10"/>
        <v>4.7229532216444747</v>
      </c>
      <c r="J81">
        <f t="shared" si="11"/>
        <v>8.8325794041623276</v>
      </c>
      <c r="K81">
        <f t="shared" si="12"/>
        <v>34.837179911722266</v>
      </c>
      <c r="L81">
        <v>20773.490234375</v>
      </c>
      <c r="M81">
        <f t="shared" si="13"/>
        <v>9.9414329448506447</v>
      </c>
    </row>
    <row r="82" spans="1:13">
      <c r="A82" s="1">
        <v>43459</v>
      </c>
      <c r="B82" s="6">
        <v>115.2</v>
      </c>
      <c r="C82" s="7">
        <v>50802</v>
      </c>
      <c r="D82" s="7">
        <f t="shared" si="8"/>
        <v>8076.8735462597442</v>
      </c>
      <c r="E82">
        <v>13469683</v>
      </c>
      <c r="F82">
        <f t="shared" si="9"/>
        <v>1346968300000000</v>
      </c>
      <c r="G82" s="8">
        <v>99.6</v>
      </c>
      <c r="H82">
        <f t="shared" si="14"/>
        <v>0.20120724346075317</v>
      </c>
      <c r="I82">
        <f t="shared" si="10"/>
        <v>4.746669748261791</v>
      </c>
      <c r="J82">
        <f t="shared" si="11"/>
        <v>8.9967601392914798</v>
      </c>
      <c r="K82">
        <f t="shared" si="12"/>
        <v>34.836632758283223</v>
      </c>
      <c r="L82">
        <v>20014.76953125</v>
      </c>
      <c r="M82">
        <f t="shared" si="13"/>
        <v>9.9042257565589793</v>
      </c>
    </row>
    <row r="83" spans="1:13">
      <c r="A83" s="1">
        <v>43429</v>
      </c>
      <c r="B83" s="6">
        <v>115.1</v>
      </c>
      <c r="C83" s="7">
        <v>57993</v>
      </c>
      <c r="D83" s="7">
        <f t="shared" si="8"/>
        <v>9220.1513241258472</v>
      </c>
      <c r="E83">
        <v>13419958</v>
      </c>
      <c r="F83">
        <f t="shared" si="9"/>
        <v>1341995800000000</v>
      </c>
      <c r="G83" s="8">
        <v>99.8</v>
      </c>
      <c r="H83">
        <f t="shared" si="14"/>
        <v>0.80808080808080518</v>
      </c>
      <c r="I83">
        <f t="shared" si="10"/>
        <v>4.7458013157278369</v>
      </c>
      <c r="J83">
        <f t="shared" si="11"/>
        <v>9.129146729010948</v>
      </c>
      <c r="K83">
        <f t="shared" si="12"/>
        <v>34.832934303798048</v>
      </c>
      <c r="L83">
        <v>22351.060546875</v>
      </c>
      <c r="M83">
        <f t="shared" si="13"/>
        <v>10.014629050677661</v>
      </c>
    </row>
    <row r="84" spans="1:13">
      <c r="A84" s="1">
        <v>43398</v>
      </c>
      <c r="B84" s="6">
        <v>116.1</v>
      </c>
      <c r="C84" s="7">
        <v>56252</v>
      </c>
      <c r="D84" s="7">
        <f t="shared" si="8"/>
        <v>8943.354409751646</v>
      </c>
      <c r="E84">
        <v>13388535</v>
      </c>
      <c r="F84">
        <f t="shared" si="9"/>
        <v>1338853500000000</v>
      </c>
      <c r="G84" s="8">
        <v>100</v>
      </c>
      <c r="H84">
        <f t="shared" si="14"/>
        <v>1.4198782961460505</v>
      </c>
      <c r="I84">
        <f t="shared" si="10"/>
        <v>4.7544518887038461</v>
      </c>
      <c r="J84">
        <f t="shared" si="11"/>
        <v>9.0986660114112858</v>
      </c>
      <c r="K84">
        <f t="shared" si="12"/>
        <v>34.830590045626543</v>
      </c>
      <c r="L84">
        <v>21920.4609375</v>
      </c>
      <c r="M84">
        <f t="shared" si="13"/>
        <v>9.9951757690114835</v>
      </c>
    </row>
    <row r="85" spans="1:13">
      <c r="A85" s="1">
        <v>43368</v>
      </c>
      <c r="B85" s="6">
        <v>113.2</v>
      </c>
      <c r="C85" s="7">
        <v>53151</v>
      </c>
      <c r="D85" s="7">
        <f t="shared" si="8"/>
        <v>8450.3347477904736</v>
      </c>
      <c r="E85">
        <v>13378670</v>
      </c>
      <c r="F85">
        <f t="shared" si="9"/>
        <v>1337867000000000</v>
      </c>
      <c r="G85" s="8">
        <v>99.9</v>
      </c>
      <c r="H85">
        <f t="shared" si="14"/>
        <v>1.2158054711246229</v>
      </c>
      <c r="I85">
        <f t="shared" si="10"/>
        <v>4.7291561657690826</v>
      </c>
      <c r="J85">
        <f t="shared" si="11"/>
        <v>9.0419613346896934</v>
      </c>
      <c r="K85">
        <f t="shared" si="12"/>
        <v>34.829852949583334</v>
      </c>
      <c r="L85">
        <v>24120.0390625</v>
      </c>
      <c r="M85">
        <f t="shared" si="13"/>
        <v>10.090798270346443</v>
      </c>
    </row>
    <row r="86" spans="1:13">
      <c r="A86" s="1">
        <v>43337</v>
      </c>
      <c r="B86" s="6">
        <v>114.5</v>
      </c>
      <c r="C86" s="7">
        <v>53890</v>
      </c>
      <c r="D86" s="7">
        <f t="shared" si="8"/>
        <v>8567.8263731336883</v>
      </c>
      <c r="E86">
        <v>13370132</v>
      </c>
      <c r="F86">
        <f t="shared" si="9"/>
        <v>1337013200000000</v>
      </c>
      <c r="G86" s="8">
        <v>99.8</v>
      </c>
      <c r="H86">
        <f t="shared" si="14"/>
        <v>1.3197969543147179</v>
      </c>
      <c r="I86">
        <f t="shared" si="10"/>
        <v>4.7405748229942946</v>
      </c>
      <c r="J86">
        <f t="shared" si="11"/>
        <v>9.05576934734869</v>
      </c>
      <c r="K86">
        <f t="shared" si="12"/>
        <v>34.829214565831421</v>
      </c>
      <c r="L86">
        <v>22865.150390625</v>
      </c>
      <c r="M86">
        <f t="shared" si="13"/>
        <v>10.037369213399412</v>
      </c>
    </row>
    <row r="87" spans="1:13">
      <c r="A87" s="1">
        <v>43306</v>
      </c>
      <c r="B87" s="6">
        <v>113.8</v>
      </c>
      <c r="C87" s="7">
        <v>53406</v>
      </c>
      <c r="D87" s="7">
        <f t="shared" si="8"/>
        <v>8490.8765129630301</v>
      </c>
      <c r="E87">
        <v>13379294</v>
      </c>
      <c r="F87">
        <f t="shared" si="9"/>
        <v>1337929400000000</v>
      </c>
      <c r="G87" s="8">
        <v>99.4</v>
      </c>
      <c r="H87">
        <f t="shared" si="14"/>
        <v>0.91370558375635103</v>
      </c>
      <c r="I87">
        <f t="shared" si="10"/>
        <v>4.7344425216922303</v>
      </c>
      <c r="J87">
        <f t="shared" si="11"/>
        <v>9.0467475146081338</v>
      </c>
      <c r="K87">
        <f t="shared" si="12"/>
        <v>34.829899589903206</v>
      </c>
      <c r="L87">
        <v>22553.720703125</v>
      </c>
      <c r="M87">
        <f t="shared" si="13"/>
        <v>10.02365532924145</v>
      </c>
    </row>
    <row r="88" spans="1:13">
      <c r="A88" s="1">
        <v>43276</v>
      </c>
      <c r="B88" s="6">
        <v>114.3</v>
      </c>
      <c r="C88" s="7">
        <v>52784</v>
      </c>
      <c r="D88" s="7">
        <f t="shared" si="8"/>
        <v>8391.9864034048715</v>
      </c>
      <c r="E88">
        <v>13360470</v>
      </c>
      <c r="F88">
        <f t="shared" si="9"/>
        <v>1336047000000000</v>
      </c>
      <c r="G88" s="8">
        <v>99.2</v>
      </c>
      <c r="H88">
        <f t="shared" si="14"/>
        <v>0.71065989847716027</v>
      </c>
      <c r="I88">
        <f t="shared" si="10"/>
        <v>4.7388265708007653</v>
      </c>
      <c r="J88">
        <f t="shared" si="11"/>
        <v>9.0350325298895093</v>
      </c>
      <c r="K88">
        <f t="shared" si="12"/>
        <v>34.828491649047066</v>
      </c>
      <c r="L88">
        <v>22304.509765625</v>
      </c>
      <c r="M88">
        <f t="shared" si="13"/>
        <v>10.012544168644524</v>
      </c>
    </row>
    <row r="89" spans="1:13">
      <c r="A89" s="1">
        <v>43245</v>
      </c>
      <c r="B89" s="6">
        <v>115.1</v>
      </c>
      <c r="C89" s="7">
        <v>48628</v>
      </c>
      <c r="D89" s="7">
        <f t="shared" si="8"/>
        <v>7731.2351247493962</v>
      </c>
      <c r="E89">
        <v>13312552</v>
      </c>
      <c r="F89">
        <f t="shared" si="9"/>
        <v>1331255200000000</v>
      </c>
      <c r="G89" s="8">
        <v>99.2</v>
      </c>
      <c r="H89">
        <f t="shared" si="14"/>
        <v>0.71065989847716027</v>
      </c>
      <c r="I89">
        <f t="shared" si="10"/>
        <v>4.7458013157278369</v>
      </c>
      <c r="J89">
        <f t="shared" si="11"/>
        <v>8.9530239120968318</v>
      </c>
      <c r="K89">
        <f t="shared" si="12"/>
        <v>34.824898651481938</v>
      </c>
      <c r="L89">
        <v>22201.8203125</v>
      </c>
      <c r="M89">
        <f t="shared" si="13"/>
        <v>10.007929560557436</v>
      </c>
    </row>
    <row r="90" spans="1:13">
      <c r="A90" s="1">
        <v>43215</v>
      </c>
      <c r="B90" s="6">
        <v>114.5</v>
      </c>
      <c r="C90" s="7">
        <v>44282</v>
      </c>
      <c r="D90" s="7">
        <f t="shared" si="8"/>
        <v>7040.2762563575052</v>
      </c>
      <c r="E90">
        <v>13292729</v>
      </c>
      <c r="F90">
        <f t="shared" si="9"/>
        <v>1329272900000000</v>
      </c>
      <c r="G90" s="8">
        <v>99.1</v>
      </c>
      <c r="H90">
        <f t="shared" si="14"/>
        <v>0.60913705583755773</v>
      </c>
      <c r="I90">
        <f t="shared" si="10"/>
        <v>4.7405748229942946</v>
      </c>
      <c r="J90">
        <f t="shared" si="11"/>
        <v>8.8594026893420548</v>
      </c>
      <c r="K90">
        <f t="shared" si="12"/>
        <v>34.823408495924618</v>
      </c>
      <c r="L90">
        <v>22467.869140625</v>
      </c>
      <c r="M90">
        <f t="shared" si="13"/>
        <v>10.019841529379754</v>
      </c>
    </row>
    <row r="91" spans="1:13">
      <c r="A91" s="1">
        <v>43184</v>
      </c>
      <c r="B91" s="6">
        <v>116.3</v>
      </c>
      <c r="C91" s="7">
        <v>44772</v>
      </c>
      <c r="D91" s="7">
        <f t="shared" si="8"/>
        <v>7118.1800404145752</v>
      </c>
      <c r="E91">
        <v>13169126</v>
      </c>
      <c r="F91">
        <f t="shared" si="9"/>
        <v>1316912600000000</v>
      </c>
      <c r="G91" s="8">
        <v>99.4</v>
      </c>
      <c r="H91">
        <f t="shared" si="14"/>
        <v>1.1190233977619619</v>
      </c>
      <c r="I91">
        <f t="shared" si="10"/>
        <v>4.7561730595246186</v>
      </c>
      <c r="J91">
        <f t="shared" si="11"/>
        <v>8.8704073594303061</v>
      </c>
      <c r="K91">
        <f t="shared" si="12"/>
        <v>34.814066452523619</v>
      </c>
      <c r="L91">
        <v>21454.30078125</v>
      </c>
      <c r="M91">
        <f t="shared" si="13"/>
        <v>9.9736804068805771</v>
      </c>
    </row>
    <row r="92" spans="1:13">
      <c r="A92" s="1">
        <v>43156</v>
      </c>
      <c r="B92" s="6">
        <v>114.6</v>
      </c>
      <c r="C92" s="7">
        <v>46932</v>
      </c>
      <c r="D92" s="7">
        <f t="shared" si="8"/>
        <v>7461.5926395232918</v>
      </c>
      <c r="E92">
        <v>13152045</v>
      </c>
      <c r="F92">
        <f t="shared" si="9"/>
        <v>1315204500000000</v>
      </c>
      <c r="G92" s="8">
        <v>99.6</v>
      </c>
      <c r="H92">
        <f t="shared" si="14"/>
        <v>1.4256619144602765</v>
      </c>
      <c r="I92">
        <f t="shared" si="10"/>
        <v>4.7414478042806394</v>
      </c>
      <c r="J92">
        <f t="shared" si="11"/>
        <v>8.9175241609646623</v>
      </c>
      <c r="K92">
        <f t="shared" si="12"/>
        <v>34.812768561757458</v>
      </c>
      <c r="L92">
        <v>22068.240234375</v>
      </c>
      <c r="M92">
        <f t="shared" si="13"/>
        <v>10.001894760429453</v>
      </c>
    </row>
    <row r="93" spans="1:13">
      <c r="A93" s="1">
        <v>43125</v>
      </c>
      <c r="B93" s="6">
        <v>112.3</v>
      </c>
      <c r="C93" s="7">
        <v>45716</v>
      </c>
      <c r="D93" s="7">
        <f t="shared" si="8"/>
        <v>7268.2640652102364</v>
      </c>
      <c r="E93">
        <v>13206997</v>
      </c>
      <c r="F93">
        <f t="shared" si="9"/>
        <v>1320699700000000</v>
      </c>
      <c r="G93" s="8">
        <v>99.6</v>
      </c>
      <c r="H93">
        <f t="shared" si="14"/>
        <v>1.3224821973550329</v>
      </c>
      <c r="I93">
        <f t="shared" si="10"/>
        <v>4.7211738617443979</v>
      </c>
      <c r="J93">
        <f t="shared" si="11"/>
        <v>8.8912727614386355</v>
      </c>
      <c r="K93">
        <f t="shared" si="12"/>
        <v>34.816938066826012</v>
      </c>
      <c r="L93">
        <v>23098.2890625</v>
      </c>
      <c r="M93">
        <f t="shared" si="13"/>
        <v>10.04751382720838</v>
      </c>
    </row>
    <row r="94" spans="1:13">
      <c r="A94" s="1">
        <v>43094</v>
      </c>
      <c r="B94" s="6">
        <v>116.9</v>
      </c>
      <c r="C94" s="7">
        <v>44204</v>
      </c>
      <c r="D94" s="7">
        <f t="shared" si="8"/>
        <v>7027.8752458341351</v>
      </c>
      <c r="E94">
        <v>13192095</v>
      </c>
      <c r="F94">
        <f t="shared" si="9"/>
        <v>1319209500000000</v>
      </c>
      <c r="G94" s="8">
        <v>99.4</v>
      </c>
      <c r="H94">
        <f t="shared" si="14"/>
        <v>1.1190233977619619</v>
      </c>
      <c r="I94">
        <f t="shared" si="10"/>
        <v>4.761318868478023</v>
      </c>
      <c r="J94">
        <f t="shared" si="11"/>
        <v>8.8576396981298195</v>
      </c>
      <c r="K94">
        <f t="shared" si="12"/>
        <v>34.815809088482148</v>
      </c>
      <c r="L94">
        <v>22764.939453125</v>
      </c>
      <c r="M94">
        <f t="shared" si="13"/>
        <v>10.03297688811786</v>
      </c>
    </row>
    <row r="95" spans="1:13">
      <c r="A95" s="1">
        <v>43064</v>
      </c>
      <c r="B95" s="6">
        <v>115.2</v>
      </c>
      <c r="C95" s="7">
        <v>41259</v>
      </c>
      <c r="D95" s="7">
        <f t="shared" si="8"/>
        <v>6559.6576049197038</v>
      </c>
      <c r="E95">
        <v>13145797</v>
      </c>
      <c r="F95">
        <f t="shared" si="9"/>
        <v>1314579700000000</v>
      </c>
      <c r="G95" s="8">
        <v>99</v>
      </c>
      <c r="H95">
        <f t="shared" si="14"/>
        <v>0.50761421319796951</v>
      </c>
      <c r="I95">
        <f t="shared" si="10"/>
        <v>4.746669748261791</v>
      </c>
      <c r="J95">
        <f t="shared" si="11"/>
        <v>8.7886936862039651</v>
      </c>
      <c r="K95">
        <f t="shared" si="12"/>
        <v>34.812293389679262</v>
      </c>
      <c r="L95">
        <v>22724.9609375</v>
      </c>
      <c r="M95">
        <f t="shared" si="13"/>
        <v>10.03121920012231</v>
      </c>
    </row>
    <row r="96" spans="1:13">
      <c r="A96" s="1">
        <v>43033</v>
      </c>
      <c r="B96" s="6">
        <v>114.2</v>
      </c>
      <c r="C96" s="7">
        <v>38814</v>
      </c>
      <c r="D96" s="7">
        <f t="shared" si="8"/>
        <v>6170.9336212063636</v>
      </c>
      <c r="E96">
        <v>13083945</v>
      </c>
      <c r="F96">
        <f t="shared" si="9"/>
        <v>1308394500000000</v>
      </c>
      <c r="G96" s="8">
        <v>98.6</v>
      </c>
      <c r="H96">
        <f t="shared" si="14"/>
        <v>0.20325203252031365</v>
      </c>
      <c r="I96">
        <f t="shared" si="10"/>
        <v>4.73795129722191</v>
      </c>
      <c r="J96">
        <f t="shared" si="11"/>
        <v>8.7276054216931875</v>
      </c>
      <c r="K96">
        <f t="shared" si="12"/>
        <v>34.807577207976479</v>
      </c>
      <c r="L96">
        <v>22011.609375</v>
      </c>
      <c r="M96">
        <f t="shared" si="13"/>
        <v>9.9993252920200071</v>
      </c>
    </row>
    <row r="97" spans="1:13">
      <c r="A97" s="1">
        <v>43003</v>
      </c>
      <c r="B97" s="6">
        <v>113.8</v>
      </c>
      <c r="C97" s="7">
        <v>35505</v>
      </c>
      <c r="D97" s="7">
        <f t="shared" si="8"/>
        <v>5644.8445978495374</v>
      </c>
      <c r="E97">
        <v>13057024</v>
      </c>
      <c r="F97">
        <f t="shared" si="9"/>
        <v>1305702400000000</v>
      </c>
      <c r="G97" s="8">
        <v>98.7</v>
      </c>
      <c r="H97">
        <f t="shared" si="14"/>
        <v>0.81716036772216261</v>
      </c>
      <c r="I97">
        <f t="shared" si="10"/>
        <v>4.7344425216922303</v>
      </c>
      <c r="J97">
        <f t="shared" si="11"/>
        <v>8.638497947037342</v>
      </c>
      <c r="K97">
        <f t="shared" si="12"/>
        <v>34.80551752843536</v>
      </c>
      <c r="L97">
        <v>20356.279296875</v>
      </c>
      <c r="M97">
        <f t="shared" si="13"/>
        <v>9.9211447082313686</v>
      </c>
    </row>
    <row r="98" spans="1:13">
      <c r="A98" s="1">
        <v>42972</v>
      </c>
      <c r="B98" s="6">
        <v>115</v>
      </c>
      <c r="C98" s="7">
        <v>34132</v>
      </c>
      <c r="D98" s="7">
        <f t="shared" si="8"/>
        <v>5426.5550151753387</v>
      </c>
      <c r="E98">
        <v>13045399</v>
      </c>
      <c r="F98">
        <f t="shared" si="9"/>
        <v>1304539900000000</v>
      </c>
      <c r="G98" s="8">
        <v>98.5</v>
      </c>
      <c r="H98">
        <f t="shared" si="14"/>
        <v>0.61287027579161824</v>
      </c>
      <c r="I98">
        <f t="shared" si="10"/>
        <v>4.7449321283632502</v>
      </c>
      <c r="J98">
        <f t="shared" si="11"/>
        <v>8.5990597760776222</v>
      </c>
      <c r="K98">
        <f t="shared" si="12"/>
        <v>34.804626806469159</v>
      </c>
      <c r="L98">
        <v>19646.240234375</v>
      </c>
      <c r="M98">
        <f t="shared" si="13"/>
        <v>9.8856412623171828</v>
      </c>
    </row>
    <row r="99" spans="1:13">
      <c r="A99" s="1">
        <v>42941</v>
      </c>
      <c r="B99" s="6">
        <v>113.3</v>
      </c>
      <c r="C99" s="7">
        <v>34189</v>
      </c>
      <c r="D99" s="7">
        <f t="shared" si="8"/>
        <v>5435.6172920962636</v>
      </c>
      <c r="E99">
        <v>13047848</v>
      </c>
      <c r="F99">
        <f t="shared" si="9"/>
        <v>1304784800000000</v>
      </c>
      <c r="G99" s="8">
        <v>98.5</v>
      </c>
      <c r="H99">
        <f t="shared" si="14"/>
        <v>0.51020408163265307</v>
      </c>
      <c r="I99">
        <f t="shared" si="10"/>
        <v>4.7300391680339606</v>
      </c>
      <c r="J99">
        <f t="shared" si="11"/>
        <v>8.6007283703085324</v>
      </c>
      <c r="K99">
        <f t="shared" si="12"/>
        <v>34.804814517872586</v>
      </c>
      <c r="L99">
        <v>19925.1796875</v>
      </c>
      <c r="M99">
        <f t="shared" si="13"/>
        <v>9.8997395218109769</v>
      </c>
    </row>
    <row r="100" spans="1:13">
      <c r="A100" s="1">
        <v>42911</v>
      </c>
      <c r="B100" s="6">
        <v>114.2</v>
      </c>
      <c r="C100" s="7">
        <v>36358</v>
      </c>
      <c r="D100" s="7">
        <f t="shared" si="8"/>
        <v>5780.4607770346001</v>
      </c>
      <c r="E100">
        <v>13013826</v>
      </c>
      <c r="F100">
        <f t="shared" si="9"/>
        <v>1301382600000000</v>
      </c>
      <c r="G100" s="8">
        <v>98.5</v>
      </c>
      <c r="H100">
        <f t="shared" si="14"/>
        <v>0.40774719673802828</v>
      </c>
      <c r="I100">
        <f t="shared" si="10"/>
        <v>4.73795129722191</v>
      </c>
      <c r="J100">
        <f t="shared" si="11"/>
        <v>8.662238677699154</v>
      </c>
      <c r="K100">
        <f t="shared" si="12"/>
        <v>34.802203632683359</v>
      </c>
      <c r="L100">
        <v>20033.4296875</v>
      </c>
      <c r="M100">
        <f t="shared" si="13"/>
        <v>9.9051576415358031</v>
      </c>
    </row>
    <row r="101" spans="1:13">
      <c r="A101" s="1">
        <v>42880</v>
      </c>
      <c r="B101" s="6">
        <v>113.1</v>
      </c>
      <c r="C101" s="7">
        <v>37819</v>
      </c>
      <c r="D101" s="7">
        <f t="shared" si="8"/>
        <v>6012.7412433761911</v>
      </c>
      <c r="E101">
        <v>12961343</v>
      </c>
      <c r="F101">
        <f t="shared" si="9"/>
        <v>1296134300000000</v>
      </c>
      <c r="G101" s="8">
        <v>98.5</v>
      </c>
      <c r="H101">
        <f t="shared" si="14"/>
        <v>0.51020408163265307</v>
      </c>
      <c r="I101">
        <f t="shared" si="10"/>
        <v>4.728272383122075</v>
      </c>
      <c r="J101">
        <f t="shared" si="11"/>
        <v>8.7016360372475372</v>
      </c>
      <c r="K101">
        <f t="shared" si="12"/>
        <v>34.798162614015119</v>
      </c>
      <c r="L101">
        <v>19650.5703125</v>
      </c>
      <c r="M101">
        <f t="shared" si="13"/>
        <v>9.885861640413129</v>
      </c>
    </row>
    <row r="102" spans="1:13">
      <c r="A102" s="1">
        <v>42850</v>
      </c>
      <c r="B102" s="6">
        <v>115.1</v>
      </c>
      <c r="C102" s="7">
        <v>37577</v>
      </c>
      <c r="D102" s="7">
        <f t="shared" si="8"/>
        <v>5974.2663132908629</v>
      </c>
      <c r="E102">
        <v>12938605</v>
      </c>
      <c r="F102">
        <f t="shared" si="9"/>
        <v>1293860500000000</v>
      </c>
      <c r="G102" s="8">
        <v>98.5</v>
      </c>
      <c r="H102">
        <f t="shared" si="14"/>
        <v>0.40774719673802828</v>
      </c>
      <c r="I102">
        <f t="shared" si="10"/>
        <v>4.7458013157278369</v>
      </c>
      <c r="J102">
        <f t="shared" si="11"/>
        <v>8.6952165765053966</v>
      </c>
      <c r="K102">
        <f t="shared" si="12"/>
        <v>34.796406779922968</v>
      </c>
      <c r="L102">
        <v>19196.740234375</v>
      </c>
      <c r="M102">
        <f t="shared" si="13"/>
        <v>9.8624957641420732</v>
      </c>
    </row>
    <row r="103" spans="1:13">
      <c r="A103" s="1">
        <v>42819</v>
      </c>
      <c r="B103" s="6">
        <v>112.2</v>
      </c>
      <c r="C103" s="7">
        <v>40158</v>
      </c>
      <c r="D103" s="7">
        <f t="shared" si="8"/>
        <v>6384.6125717628993</v>
      </c>
      <c r="E103">
        <v>12832462</v>
      </c>
      <c r="F103">
        <f t="shared" si="9"/>
        <v>1283246200000000</v>
      </c>
      <c r="G103" s="8">
        <v>98.3</v>
      </c>
      <c r="H103">
        <f t="shared" si="14"/>
        <v>0.20387359836901414</v>
      </c>
      <c r="I103">
        <f t="shared" si="10"/>
        <v>4.7202829930885963</v>
      </c>
      <c r="J103">
        <f t="shared" si="11"/>
        <v>8.7616460887498437</v>
      </c>
      <c r="K103">
        <f t="shared" si="12"/>
        <v>34.788169356133331</v>
      </c>
      <c r="L103">
        <v>18909.259765625</v>
      </c>
      <c r="M103">
        <f t="shared" si="13"/>
        <v>9.8474070157580744</v>
      </c>
    </row>
    <row r="104" spans="1:13">
      <c r="A104" s="1">
        <v>42791</v>
      </c>
      <c r="B104" s="6">
        <v>112.3</v>
      </c>
      <c r="C104" s="7">
        <v>39476</v>
      </c>
      <c r="D104" s="7">
        <f t="shared" si="8"/>
        <v>6276.1832233406094</v>
      </c>
      <c r="E104">
        <v>12803148</v>
      </c>
      <c r="F104">
        <f t="shared" si="9"/>
        <v>1280314800000000</v>
      </c>
      <c r="G104" s="8">
        <v>98.2</v>
      </c>
      <c r="H104">
        <f t="shared" si="14"/>
        <v>0.20408163265306412</v>
      </c>
      <c r="I104">
        <f t="shared" si="10"/>
        <v>4.7211738617443979</v>
      </c>
      <c r="J104">
        <f t="shared" si="11"/>
        <v>8.7445173077130445</v>
      </c>
      <c r="K104">
        <f t="shared" si="12"/>
        <v>34.785882380104539</v>
      </c>
      <c r="L104">
        <v>19118.990234375</v>
      </c>
      <c r="M104">
        <f t="shared" si="13"/>
        <v>9.858437373201113</v>
      </c>
    </row>
    <row r="105" spans="1:13">
      <c r="A105" s="1">
        <v>42760</v>
      </c>
      <c r="B105" s="6">
        <v>111.5</v>
      </c>
      <c r="C105" s="7">
        <v>39178</v>
      </c>
      <c r="D105" s="7">
        <f t="shared" si="8"/>
        <v>6228.8050036487584</v>
      </c>
      <c r="E105">
        <v>12833922</v>
      </c>
      <c r="F105">
        <f t="shared" si="9"/>
        <v>1283392200000000</v>
      </c>
      <c r="G105" s="8">
        <v>98.3</v>
      </c>
      <c r="H105">
        <f t="shared" si="14"/>
        <v>0.40858018386107398</v>
      </c>
      <c r="I105">
        <f t="shared" si="10"/>
        <v>4.7140245909001735</v>
      </c>
      <c r="J105">
        <f t="shared" si="11"/>
        <v>8.7369397801644926</v>
      </c>
      <c r="K105">
        <f t="shared" si="12"/>
        <v>34.78828312362014</v>
      </c>
      <c r="L105">
        <v>19041.33984375</v>
      </c>
      <c r="M105">
        <f t="shared" si="13"/>
        <v>9.8543676758143608</v>
      </c>
    </row>
    <row r="106" spans="1:13">
      <c r="A106" s="1">
        <v>42729</v>
      </c>
      <c r="B106" s="6">
        <v>112.7</v>
      </c>
      <c r="C106" s="7">
        <v>33245</v>
      </c>
      <c r="D106" s="7">
        <f t="shared" si="8"/>
        <v>5285.5332673006023</v>
      </c>
      <c r="E106">
        <v>12800804</v>
      </c>
      <c r="F106">
        <f t="shared" si="9"/>
        <v>1280080400000000</v>
      </c>
      <c r="G106" s="8">
        <v>98.3</v>
      </c>
      <c r="H106">
        <f t="shared" si="14"/>
        <v>0.20387359836901414</v>
      </c>
      <c r="I106">
        <f t="shared" si="10"/>
        <v>4.7247294210457307</v>
      </c>
      <c r="J106">
        <f t="shared" si="11"/>
        <v>8.5727287952577029</v>
      </c>
      <c r="K106">
        <f t="shared" si="12"/>
        <v>34.785699283369588</v>
      </c>
      <c r="L106">
        <v>19114.369140625</v>
      </c>
      <c r="M106">
        <f t="shared" si="13"/>
        <v>9.8581956422181154</v>
      </c>
    </row>
    <row r="107" spans="1:13">
      <c r="A107" s="1">
        <v>42699</v>
      </c>
      <c r="B107" s="6">
        <v>112.7</v>
      </c>
      <c r="C107" s="7">
        <v>32420</v>
      </c>
      <c r="D107" s="7">
        <f t="shared" si="8"/>
        <v>5154.3687329188006</v>
      </c>
      <c r="E107">
        <v>12716022</v>
      </c>
      <c r="F107">
        <f t="shared" si="9"/>
        <v>1271602200000000</v>
      </c>
      <c r="G107" s="8">
        <v>98.5</v>
      </c>
      <c r="H107">
        <f t="shared" si="14"/>
        <v>0.40774719673802828</v>
      </c>
      <c r="I107">
        <f t="shared" si="10"/>
        <v>4.7247294210457307</v>
      </c>
      <c r="J107">
        <f t="shared" si="11"/>
        <v>8.5475999317108151</v>
      </c>
      <c r="K107">
        <f t="shared" si="12"/>
        <v>34.779054075067506</v>
      </c>
      <c r="L107">
        <v>18308.48046875</v>
      </c>
      <c r="M107">
        <f t="shared" si="13"/>
        <v>9.8151196450794913</v>
      </c>
    </row>
    <row r="108" spans="1:13">
      <c r="A108" s="1">
        <v>42668</v>
      </c>
      <c r="B108" s="6">
        <v>111.6</v>
      </c>
      <c r="C108" s="7">
        <v>29181</v>
      </c>
      <c r="D108" s="7">
        <f t="shared" si="8"/>
        <v>4639.4088215701267</v>
      </c>
      <c r="E108">
        <v>12649217</v>
      </c>
      <c r="F108">
        <f t="shared" si="9"/>
        <v>1264921700000000</v>
      </c>
      <c r="G108" s="8">
        <v>98.4</v>
      </c>
      <c r="H108">
        <f t="shared" si="14"/>
        <v>0.20366598778004363</v>
      </c>
      <c r="I108">
        <f t="shared" si="10"/>
        <v>4.7149210499472103</v>
      </c>
      <c r="J108">
        <f t="shared" si="11"/>
        <v>8.4423422279586973</v>
      </c>
      <c r="K108">
        <f t="shared" si="12"/>
        <v>34.773786617941255</v>
      </c>
      <c r="L108">
        <v>17425.01953125</v>
      </c>
      <c r="M108">
        <f t="shared" si="13"/>
        <v>9.7656623565032756</v>
      </c>
    </row>
    <row r="109" spans="1:13">
      <c r="A109" s="1">
        <v>42638</v>
      </c>
      <c r="B109" s="6">
        <v>111.3</v>
      </c>
      <c r="C109" s="7">
        <v>29190</v>
      </c>
      <c r="D109" s="7">
        <f t="shared" si="8"/>
        <v>4640.8397073997467</v>
      </c>
      <c r="E109">
        <v>12625523</v>
      </c>
      <c r="F109">
        <f t="shared" si="9"/>
        <v>1262552300000000</v>
      </c>
      <c r="G109" s="8">
        <v>97.9</v>
      </c>
      <c r="H109">
        <f t="shared" si="14"/>
        <v>-0.50813008130081294</v>
      </c>
      <c r="I109">
        <f t="shared" si="10"/>
        <v>4.7122292582814991</v>
      </c>
      <c r="J109">
        <f t="shared" si="11"/>
        <v>8.4426506002693085</v>
      </c>
      <c r="K109">
        <f t="shared" si="12"/>
        <v>34.771911701962615</v>
      </c>
      <c r="L109">
        <v>16449.83984375</v>
      </c>
      <c r="M109">
        <f t="shared" si="13"/>
        <v>9.7080710202038745</v>
      </c>
    </row>
    <row r="110" spans="1:13">
      <c r="A110" s="1">
        <v>42607</v>
      </c>
      <c r="B110" s="6">
        <v>111.1</v>
      </c>
      <c r="C110" s="7">
        <v>29521</v>
      </c>
      <c r="D110" s="7">
        <f t="shared" si="8"/>
        <v>4693.4645084668691</v>
      </c>
      <c r="E110">
        <v>12621687</v>
      </c>
      <c r="F110">
        <f t="shared" si="9"/>
        <v>1262168700000000</v>
      </c>
      <c r="G110" s="8">
        <v>97.9</v>
      </c>
      <c r="H110">
        <f t="shared" si="14"/>
        <v>-0.50813008130081294</v>
      </c>
      <c r="I110">
        <f t="shared" si="10"/>
        <v>4.7104306966455844</v>
      </c>
      <c r="J110">
        <f t="shared" si="11"/>
        <v>8.4539262899005525</v>
      </c>
      <c r="K110">
        <f t="shared" si="12"/>
        <v>34.771607826799418</v>
      </c>
      <c r="L110">
        <v>16887.400390625</v>
      </c>
      <c r="M110">
        <f t="shared" si="13"/>
        <v>9.7343230838424724</v>
      </c>
    </row>
    <row r="111" spans="1:13">
      <c r="A111" s="1">
        <v>42576</v>
      </c>
      <c r="B111" s="6">
        <v>110.3</v>
      </c>
      <c r="C111" s="7">
        <v>30933</v>
      </c>
      <c r="D111" s="7">
        <f t="shared" si="8"/>
        <v>4917.9545964027529</v>
      </c>
      <c r="E111">
        <v>12623788</v>
      </c>
      <c r="F111">
        <f t="shared" si="9"/>
        <v>1262378800000000</v>
      </c>
      <c r="G111" s="8">
        <v>98</v>
      </c>
      <c r="H111">
        <f t="shared" si="14"/>
        <v>-0.40650406504065617</v>
      </c>
      <c r="I111">
        <f t="shared" si="10"/>
        <v>4.7032039262594569</v>
      </c>
      <c r="J111">
        <f t="shared" si="11"/>
        <v>8.5006479906072006</v>
      </c>
      <c r="K111">
        <f t="shared" si="12"/>
        <v>34.77177427246977</v>
      </c>
      <c r="L111">
        <v>16569.26953125</v>
      </c>
      <c r="M111">
        <f t="shared" si="13"/>
        <v>9.7153050256377842</v>
      </c>
    </row>
    <row r="112" spans="1:13">
      <c r="A112" s="1">
        <v>42546</v>
      </c>
      <c r="B112" s="6">
        <v>109.6</v>
      </c>
      <c r="C112" s="7">
        <v>30891</v>
      </c>
      <c r="D112" s="7">
        <f t="shared" si="8"/>
        <v>4911.2771291978615</v>
      </c>
      <c r="E112">
        <v>12594721</v>
      </c>
      <c r="F112">
        <f t="shared" si="9"/>
        <v>1259472100000000</v>
      </c>
      <c r="G112" s="8">
        <v>98.1</v>
      </c>
      <c r="H112">
        <f t="shared" si="14"/>
        <v>-0.30487804878049934</v>
      </c>
      <c r="I112">
        <f t="shared" si="10"/>
        <v>4.6968373745139154</v>
      </c>
      <c r="J112">
        <f t="shared" si="11"/>
        <v>8.4992892947460081</v>
      </c>
      <c r="K112">
        <f t="shared" si="12"/>
        <v>34.769469059828381</v>
      </c>
      <c r="L112">
        <v>15575.919921875</v>
      </c>
      <c r="M112">
        <f t="shared" si="13"/>
        <v>9.6534814059162599</v>
      </c>
    </row>
    <row r="113" spans="1:13">
      <c r="A113" s="1">
        <v>42515</v>
      </c>
      <c r="B113" s="6">
        <v>108.9</v>
      </c>
      <c r="C113" s="7">
        <v>27915</v>
      </c>
      <c r="D113" s="7">
        <f t="shared" si="8"/>
        <v>4438.1308815369621</v>
      </c>
      <c r="E113">
        <v>12555159</v>
      </c>
      <c r="F113">
        <f t="shared" si="9"/>
        <v>1255515900000000</v>
      </c>
      <c r="G113" s="8">
        <v>98</v>
      </c>
      <c r="H113">
        <f t="shared" si="14"/>
        <v>-0.50761421319796951</v>
      </c>
      <c r="I113">
        <f t="shared" si="10"/>
        <v>4.6904300299389146</v>
      </c>
      <c r="J113">
        <f t="shared" si="11"/>
        <v>8.3979885941656072</v>
      </c>
      <c r="K113">
        <f t="shared" si="12"/>
        <v>34.76632295872318</v>
      </c>
      <c r="L113">
        <v>17234.98046875</v>
      </c>
      <c r="M113">
        <f t="shared" si="13"/>
        <v>9.7546963457185285</v>
      </c>
    </row>
    <row r="114" spans="1:13">
      <c r="A114" s="1">
        <v>42485</v>
      </c>
      <c r="B114" s="6">
        <v>109.8</v>
      </c>
      <c r="C114" s="7">
        <v>25880</v>
      </c>
      <c r="D114" s="7">
        <f t="shared" si="8"/>
        <v>4114.5916967285184</v>
      </c>
      <c r="E114">
        <v>12520875</v>
      </c>
      <c r="F114">
        <f t="shared" si="9"/>
        <v>1252087500000000</v>
      </c>
      <c r="G114" s="8">
        <v>98.1</v>
      </c>
      <c r="H114">
        <f t="shared" si="14"/>
        <v>-0.2034587995930853</v>
      </c>
      <c r="I114">
        <f t="shared" si="10"/>
        <v>4.69866052907543</v>
      </c>
      <c r="J114">
        <f t="shared" si="11"/>
        <v>8.3222948850359835</v>
      </c>
      <c r="K114">
        <f t="shared" si="12"/>
        <v>34.763588553325441</v>
      </c>
      <c r="L114">
        <v>16666.05078125</v>
      </c>
      <c r="M114">
        <f t="shared" si="13"/>
        <v>9.7211290419343896</v>
      </c>
    </row>
    <row r="115" spans="1:13">
      <c r="A115" s="1">
        <v>42454</v>
      </c>
      <c r="B115" s="6">
        <v>110.2</v>
      </c>
      <c r="C115" s="7">
        <v>22945</v>
      </c>
      <c r="D115" s="7">
        <f t="shared" si="8"/>
        <v>3647.9639289581082</v>
      </c>
      <c r="E115">
        <v>12393702</v>
      </c>
      <c r="F115">
        <f t="shared" si="9"/>
        <v>1239370200000000</v>
      </c>
      <c r="G115" s="8">
        <v>98.1</v>
      </c>
      <c r="H115">
        <f t="shared" si="14"/>
        <v>0</v>
      </c>
      <c r="I115">
        <f t="shared" si="10"/>
        <v>4.7022968967188143</v>
      </c>
      <c r="J115">
        <f t="shared" si="11"/>
        <v>8.2019244632500818</v>
      </c>
      <c r="K115">
        <f t="shared" si="12"/>
        <v>34.753379742275293</v>
      </c>
      <c r="L115">
        <v>16758.669921875</v>
      </c>
      <c r="M115">
        <f t="shared" si="13"/>
        <v>9.7266710106168937</v>
      </c>
    </row>
    <row r="116" spans="1:13">
      <c r="A116" s="1">
        <v>42425</v>
      </c>
      <c r="B116" s="6">
        <v>109.6</v>
      </c>
      <c r="C116" s="7">
        <v>22457</v>
      </c>
      <c r="D116" s="7">
        <f t="shared" si="8"/>
        <v>3570.3781195298425</v>
      </c>
      <c r="E116">
        <v>12367839</v>
      </c>
      <c r="F116">
        <f t="shared" si="9"/>
        <v>1236783900000000</v>
      </c>
      <c r="G116" s="8">
        <v>98</v>
      </c>
      <c r="H116">
        <f t="shared" si="14"/>
        <v>0.20449897750511539</v>
      </c>
      <c r="I116">
        <f t="shared" si="10"/>
        <v>4.6968373745139154</v>
      </c>
      <c r="J116">
        <f t="shared" si="11"/>
        <v>8.180426784999689</v>
      </c>
      <c r="K116">
        <f t="shared" si="12"/>
        <v>34.751290776212556</v>
      </c>
      <c r="L116">
        <v>16026.759765625</v>
      </c>
      <c r="M116">
        <f t="shared" si="13"/>
        <v>9.6820150895273311</v>
      </c>
    </row>
    <row r="117" spans="1:13">
      <c r="A117" s="1">
        <v>42394</v>
      </c>
      <c r="B117" s="6">
        <v>110.6</v>
      </c>
      <c r="C117" s="7">
        <v>27782</v>
      </c>
      <c r="D117" s="7">
        <f t="shared" si="8"/>
        <v>4416.9855687214713</v>
      </c>
      <c r="E117">
        <v>12411437</v>
      </c>
      <c r="F117">
        <f t="shared" si="9"/>
        <v>1241143700000000</v>
      </c>
      <c r="G117" s="8">
        <v>97.9</v>
      </c>
      <c r="H117">
        <f t="shared" si="14"/>
        <v>-0.10204081632652481</v>
      </c>
      <c r="I117">
        <f t="shared" si="10"/>
        <v>4.7059200890882344</v>
      </c>
      <c r="J117">
        <f t="shared" si="11"/>
        <v>8.3932127443784825</v>
      </c>
      <c r="K117">
        <f t="shared" si="12"/>
        <v>34.754809688144327</v>
      </c>
      <c r="L117">
        <v>17518.30078125</v>
      </c>
      <c r="M117">
        <f t="shared" si="13"/>
        <v>9.7710013724152276</v>
      </c>
    </row>
    <row r="118" spans="1:13">
      <c r="A118" s="1">
        <v>42363</v>
      </c>
      <c r="B118" s="6">
        <v>108.9</v>
      </c>
      <c r="C118" s="7">
        <v>33582</v>
      </c>
      <c r="D118" s="7">
        <f t="shared" si="8"/>
        <v>5339.1119922541384</v>
      </c>
      <c r="E118">
        <v>12386000</v>
      </c>
      <c r="F118">
        <f t="shared" si="9"/>
        <v>1238600000000000</v>
      </c>
      <c r="G118" s="8">
        <v>98.1</v>
      </c>
      <c r="H118">
        <f t="shared" si="14"/>
        <v>0.10204081632652481</v>
      </c>
      <c r="I118">
        <f t="shared" si="10"/>
        <v>4.6904300299389146</v>
      </c>
      <c r="J118">
        <f t="shared" si="11"/>
        <v>8.5828146245405623</v>
      </c>
      <c r="K118">
        <f t="shared" si="12"/>
        <v>34.752758104432509</v>
      </c>
      <c r="L118">
        <v>19033.7109375</v>
      </c>
      <c r="M118">
        <f t="shared" si="13"/>
        <v>9.8539669458772732</v>
      </c>
    </row>
    <row r="119" spans="1:13">
      <c r="A119" s="1">
        <v>42333</v>
      </c>
      <c r="B119" s="6">
        <v>110.4</v>
      </c>
      <c r="C119" s="7">
        <v>36213</v>
      </c>
      <c r="D119" s="7">
        <f t="shared" si="8"/>
        <v>5757.407616446284</v>
      </c>
      <c r="E119">
        <v>12313182</v>
      </c>
      <c r="F119">
        <f t="shared" si="9"/>
        <v>1231318200000000</v>
      </c>
      <c r="G119" s="8">
        <v>98.1</v>
      </c>
      <c r="H119">
        <f t="shared" si="14"/>
        <v>0.20429009193052974</v>
      </c>
      <c r="I119">
        <f t="shared" si="10"/>
        <v>4.7041101338429954</v>
      </c>
      <c r="J119">
        <f t="shared" si="11"/>
        <v>8.6582425857903846</v>
      </c>
      <c r="K119">
        <f t="shared" si="12"/>
        <v>34.746861697743775</v>
      </c>
      <c r="L119">
        <v>19747.470703125</v>
      </c>
      <c r="M119">
        <f t="shared" si="13"/>
        <v>9.8907806964636027</v>
      </c>
    </row>
    <row r="120" spans="1:13">
      <c r="A120" s="1">
        <v>42302</v>
      </c>
      <c r="B120" s="6">
        <v>111.3</v>
      </c>
      <c r="C120" s="7">
        <v>36165</v>
      </c>
      <c r="D120" s="7">
        <f t="shared" si="8"/>
        <v>5749.776225354979</v>
      </c>
      <c r="E120">
        <v>12273462</v>
      </c>
      <c r="F120">
        <f t="shared" si="9"/>
        <v>1227346200000000</v>
      </c>
      <c r="G120" s="8">
        <v>98.2</v>
      </c>
      <c r="H120">
        <f t="shared" si="14"/>
        <v>0.20408163265306412</v>
      </c>
      <c r="I120">
        <f t="shared" si="10"/>
        <v>4.7122292582814991</v>
      </c>
      <c r="J120">
        <f t="shared" si="11"/>
        <v>8.6569162157045287</v>
      </c>
      <c r="K120">
        <f t="shared" si="12"/>
        <v>34.743630672431429</v>
      </c>
      <c r="L120">
        <v>19083.099609375</v>
      </c>
      <c r="M120">
        <f t="shared" si="13"/>
        <v>9.8565583851297056</v>
      </c>
    </row>
    <row r="121" spans="1:13">
      <c r="A121" s="1">
        <v>42272</v>
      </c>
      <c r="B121" s="6">
        <v>111.2</v>
      </c>
      <c r="C121" s="7">
        <v>38981</v>
      </c>
      <c r="D121" s="7">
        <f t="shared" si="8"/>
        <v>6197.4845027115289</v>
      </c>
      <c r="E121">
        <v>12263554</v>
      </c>
      <c r="F121">
        <f t="shared" si="9"/>
        <v>1226355400000000</v>
      </c>
      <c r="G121" s="8">
        <v>98.4</v>
      </c>
      <c r="H121">
        <f t="shared" si="14"/>
        <v>0.10172939979654987</v>
      </c>
      <c r="I121">
        <f t="shared" si="10"/>
        <v>4.7113303818164818</v>
      </c>
      <c r="J121">
        <f t="shared" si="11"/>
        <v>8.731898763335268</v>
      </c>
      <c r="K121">
        <f t="shared" si="12"/>
        <v>34.742823076223438</v>
      </c>
      <c r="L121">
        <v>17388.150390625</v>
      </c>
      <c r="M121">
        <f t="shared" si="13"/>
        <v>9.7635442411755466</v>
      </c>
    </row>
    <row r="122" spans="1:13">
      <c r="A122" s="1">
        <v>42241</v>
      </c>
      <c r="B122" s="6">
        <v>109</v>
      </c>
      <c r="C122" s="7">
        <v>46074</v>
      </c>
      <c r="D122" s="7">
        <f t="shared" si="8"/>
        <v>7325.1815237662186</v>
      </c>
      <c r="E122">
        <v>12281934</v>
      </c>
      <c r="F122">
        <f t="shared" si="9"/>
        <v>1228193400000000</v>
      </c>
      <c r="G122" s="8">
        <v>98.4</v>
      </c>
      <c r="H122">
        <f t="shared" si="14"/>
        <v>0.10172939979654987</v>
      </c>
      <c r="I122">
        <f t="shared" si="10"/>
        <v>4.6913478822291435</v>
      </c>
      <c r="J122">
        <f t="shared" si="11"/>
        <v>8.8990732149797456</v>
      </c>
      <c r="K122">
        <f t="shared" si="12"/>
        <v>34.74432070409177</v>
      </c>
      <c r="L122">
        <v>18890.48046875</v>
      </c>
      <c r="M122">
        <f t="shared" si="13"/>
        <v>9.8464133952567892</v>
      </c>
    </row>
    <row r="123" spans="1:13">
      <c r="A123" s="1">
        <v>42210</v>
      </c>
      <c r="B123" s="6">
        <v>110.9</v>
      </c>
      <c r="C123" s="7">
        <v>49355</v>
      </c>
      <c r="D123" s="7">
        <f t="shared" si="8"/>
        <v>7846.8189023197838</v>
      </c>
      <c r="E123">
        <v>12271255</v>
      </c>
      <c r="F123">
        <f t="shared" si="9"/>
        <v>1227125500000000</v>
      </c>
      <c r="G123" s="8">
        <v>98.4</v>
      </c>
      <c r="H123">
        <f t="shared" si="14"/>
        <v>0.20366598778004363</v>
      </c>
      <c r="I123">
        <f t="shared" si="10"/>
        <v>4.7086288943563215</v>
      </c>
      <c r="J123">
        <f t="shared" si="11"/>
        <v>8.9678634932731356</v>
      </c>
      <c r="K123">
        <f t="shared" si="12"/>
        <v>34.743450837397603</v>
      </c>
      <c r="L123">
        <v>20585.240234375</v>
      </c>
      <c r="M123">
        <f t="shared" si="13"/>
        <v>9.9323296044966067</v>
      </c>
    </row>
    <row r="124" spans="1:13">
      <c r="A124" s="1">
        <v>42180</v>
      </c>
      <c r="B124" s="6">
        <v>111</v>
      </c>
      <c r="C124" s="7">
        <v>49573</v>
      </c>
      <c r="D124" s="7">
        <f t="shared" si="8"/>
        <v>7881.4781368594595</v>
      </c>
      <c r="E124">
        <v>12244585</v>
      </c>
      <c r="F124">
        <f t="shared" si="9"/>
        <v>1224458500000000</v>
      </c>
      <c r="G124" s="8">
        <v>98.4</v>
      </c>
      <c r="H124">
        <f t="shared" si="14"/>
        <v>0.40816326530612823</v>
      </c>
      <c r="I124">
        <f t="shared" si="10"/>
        <v>4.7095302013123339</v>
      </c>
      <c r="J124">
        <f t="shared" si="11"/>
        <v>8.9722707460805715</v>
      </c>
      <c r="K124">
        <f t="shared" si="12"/>
        <v>34.741275100362209</v>
      </c>
      <c r="L124">
        <v>20235.73046875</v>
      </c>
      <c r="M124">
        <f t="shared" si="13"/>
        <v>9.9152051559294687</v>
      </c>
    </row>
    <row r="125" spans="1:13">
      <c r="A125" s="1">
        <v>42149</v>
      </c>
      <c r="B125" s="6">
        <v>110</v>
      </c>
      <c r="C125" s="7">
        <v>44622</v>
      </c>
      <c r="D125" s="7">
        <f t="shared" si="8"/>
        <v>7094.3319432542476</v>
      </c>
      <c r="E125">
        <v>12215160</v>
      </c>
      <c r="F125">
        <f t="shared" si="9"/>
        <v>1221516000000000</v>
      </c>
      <c r="G125" s="8">
        <v>98.5</v>
      </c>
      <c r="H125">
        <f t="shared" si="14"/>
        <v>0.61287027579161824</v>
      </c>
      <c r="I125">
        <f t="shared" si="10"/>
        <v>4.7004803657924166</v>
      </c>
      <c r="J125">
        <f t="shared" si="11"/>
        <v>8.8670514263525018</v>
      </c>
      <c r="K125">
        <f t="shared" si="12"/>
        <v>34.738869105189757</v>
      </c>
      <c r="L125">
        <v>20563.150390625</v>
      </c>
      <c r="M125">
        <f t="shared" si="13"/>
        <v>9.9312559369467213</v>
      </c>
    </row>
    <row r="126" spans="1:13">
      <c r="A126" s="1">
        <v>42119</v>
      </c>
      <c r="B126" s="6">
        <v>110</v>
      </c>
      <c r="C126" s="7">
        <v>42400</v>
      </c>
      <c r="D126" s="7">
        <f t="shared" si="8"/>
        <v>6741.0621306525954</v>
      </c>
      <c r="E126">
        <v>12191441</v>
      </c>
      <c r="F126">
        <f t="shared" si="9"/>
        <v>1219144100000000</v>
      </c>
      <c r="G126" s="8">
        <v>98.3</v>
      </c>
      <c r="H126">
        <f t="shared" si="14"/>
        <v>0.71721311475410132</v>
      </c>
      <c r="I126">
        <f t="shared" si="10"/>
        <v>4.7004803657924166</v>
      </c>
      <c r="J126">
        <f t="shared" si="11"/>
        <v>8.8159727776411962</v>
      </c>
      <c r="K126">
        <f t="shared" si="12"/>
        <v>34.736925450072263</v>
      </c>
      <c r="L126">
        <v>19520.009765625</v>
      </c>
      <c r="M126">
        <f t="shared" si="13"/>
        <v>9.8791953602551246</v>
      </c>
    </row>
    <row r="127" spans="1:13">
      <c r="A127" s="1">
        <v>42088</v>
      </c>
      <c r="B127" s="6">
        <v>109.8</v>
      </c>
      <c r="C127" s="7">
        <v>41318</v>
      </c>
      <c r="D127" s="7">
        <f t="shared" si="8"/>
        <v>6569.037856469432</v>
      </c>
      <c r="E127">
        <v>12093214</v>
      </c>
      <c r="F127">
        <f t="shared" si="9"/>
        <v>1209321400000000</v>
      </c>
      <c r="G127" s="8">
        <v>98.1</v>
      </c>
      <c r="H127">
        <f t="shared" si="14"/>
        <v>2.4008350730688908</v>
      </c>
      <c r="I127">
        <f t="shared" si="10"/>
        <v>4.69866052907543</v>
      </c>
      <c r="J127">
        <f t="shared" si="11"/>
        <v>8.7901226557727217</v>
      </c>
      <c r="K127">
        <f t="shared" si="12"/>
        <v>34.728835770751083</v>
      </c>
      <c r="L127">
        <v>19206.990234375</v>
      </c>
      <c r="M127">
        <f t="shared" si="13"/>
        <v>9.8630295664637906</v>
      </c>
    </row>
    <row r="128" spans="1:13">
      <c r="A128" s="1">
        <v>42060</v>
      </c>
      <c r="B128" s="6">
        <v>110.3</v>
      </c>
      <c r="C128" s="7">
        <v>36823</v>
      </c>
      <c r="D128" s="7">
        <f t="shared" si="8"/>
        <v>5854.3898782316155</v>
      </c>
      <c r="E128">
        <v>12065566</v>
      </c>
      <c r="F128">
        <f t="shared" si="9"/>
        <v>1206556600000000</v>
      </c>
      <c r="G128" s="8">
        <v>97.8</v>
      </c>
      <c r="H128">
        <f t="shared" si="14"/>
        <v>2.194357366771154</v>
      </c>
      <c r="I128">
        <f t="shared" si="10"/>
        <v>4.7032039262594569</v>
      </c>
      <c r="J128">
        <f t="shared" si="11"/>
        <v>8.6749470653470109</v>
      </c>
      <c r="K128">
        <f t="shared" si="12"/>
        <v>34.72654691245026</v>
      </c>
      <c r="L128">
        <v>18797.939453125</v>
      </c>
      <c r="M128">
        <f t="shared" si="13"/>
        <v>9.8415025392539501</v>
      </c>
    </row>
    <row r="129" spans="1:13">
      <c r="A129" s="1">
        <v>42029</v>
      </c>
      <c r="B129" s="6">
        <v>113.7</v>
      </c>
      <c r="C129" s="7">
        <v>47515</v>
      </c>
      <c r="D129" s="7">
        <f t="shared" si="8"/>
        <v>7554.2822438197654</v>
      </c>
      <c r="E129">
        <v>12104783</v>
      </c>
      <c r="F129">
        <f t="shared" si="9"/>
        <v>1210478300000000</v>
      </c>
      <c r="G129" s="8">
        <v>98</v>
      </c>
      <c r="H129">
        <f t="shared" si="14"/>
        <v>2.4033437826541242</v>
      </c>
      <c r="I129">
        <f t="shared" si="10"/>
        <v>4.7335634007564904</v>
      </c>
      <c r="J129">
        <f t="shared" si="11"/>
        <v>8.9298698660665625</v>
      </c>
      <c r="K129">
        <f t="shared" si="12"/>
        <v>34.729791965669321</v>
      </c>
      <c r="L129">
        <v>17674.390625</v>
      </c>
      <c r="M129">
        <f t="shared" si="13"/>
        <v>9.7798720135084878</v>
      </c>
    </row>
    <row r="130" spans="1:13">
      <c r="A130" s="1">
        <v>41998</v>
      </c>
      <c r="B130" s="6">
        <v>110.4</v>
      </c>
      <c r="C130" s="7">
        <v>58788</v>
      </c>
      <c r="D130" s="7">
        <f t="shared" si="8"/>
        <v>9346.5462390755838</v>
      </c>
      <c r="E130">
        <v>12085313</v>
      </c>
      <c r="F130">
        <f t="shared" si="9"/>
        <v>1208531300000000</v>
      </c>
      <c r="G130" s="8">
        <v>98</v>
      </c>
      <c r="H130">
        <f t="shared" si="14"/>
        <v>2.4033437826541242</v>
      </c>
      <c r="I130">
        <f t="shared" si="10"/>
        <v>4.7041101338429954</v>
      </c>
      <c r="J130">
        <f t="shared" si="11"/>
        <v>9.1427621678477227</v>
      </c>
      <c r="K130">
        <f t="shared" si="12"/>
        <v>34.72818221561257</v>
      </c>
      <c r="L130">
        <v>17450.76953125</v>
      </c>
      <c r="M130">
        <f t="shared" si="13"/>
        <v>9.7671390258702662</v>
      </c>
    </row>
    <row r="131" spans="1:13">
      <c r="A131" s="1">
        <v>41968</v>
      </c>
      <c r="B131" s="6">
        <v>111</v>
      </c>
      <c r="C131" s="7">
        <v>63584</v>
      </c>
      <c r="D131" s="7">
        <f t="shared" si="8"/>
        <v>10109.049398948458</v>
      </c>
      <c r="E131">
        <v>11993459</v>
      </c>
      <c r="F131">
        <f t="shared" si="9"/>
        <v>1199345900000000</v>
      </c>
      <c r="G131" s="8">
        <v>97.9</v>
      </c>
      <c r="H131">
        <f t="shared" si="14"/>
        <v>2.4058577405857862</v>
      </c>
      <c r="I131">
        <f t="shared" si="10"/>
        <v>4.7095302013123339</v>
      </c>
      <c r="J131">
        <f t="shared" si="11"/>
        <v>9.22118628177269</v>
      </c>
      <c r="K131">
        <f t="shared" si="12"/>
        <v>34.720552719759382</v>
      </c>
      <c r="L131">
        <v>17459.849609375</v>
      </c>
      <c r="M131">
        <f t="shared" si="13"/>
        <v>9.7676592159186395</v>
      </c>
    </row>
    <row r="132" spans="1:13">
      <c r="A132" s="1">
        <v>41937</v>
      </c>
      <c r="B132" s="6">
        <v>111</v>
      </c>
      <c r="C132" s="7">
        <v>68589</v>
      </c>
      <c r="D132" s="7">
        <f t="shared" ref="D132:D165" si="15">C132/6.28981</f>
        <v>10904.780907531387</v>
      </c>
      <c r="E132">
        <v>11927419</v>
      </c>
      <c r="F132">
        <f t="shared" ref="F132:F165" si="16">E132*100000000</f>
        <v>1192741900000000</v>
      </c>
      <c r="G132" s="8">
        <v>98</v>
      </c>
      <c r="H132">
        <f t="shared" si="14"/>
        <v>2.8331584470094469</v>
      </c>
      <c r="I132">
        <f t="shared" ref="I132:I165" si="17">LN(B132)</f>
        <v>4.7095302013123339</v>
      </c>
      <c r="J132">
        <f t="shared" ref="J132:J165" si="18">LN(D132)</f>
        <v>9.2969565874234839</v>
      </c>
      <c r="K132">
        <f t="shared" ref="K132:K165" si="19">LN(F132)</f>
        <v>34.715031169272571</v>
      </c>
      <c r="L132">
        <v>16413.759765625</v>
      </c>
      <c r="M132">
        <f t="shared" ref="M132:M165" si="20">LN(L132)</f>
        <v>9.7058752721391492</v>
      </c>
    </row>
    <row r="133" spans="1:13">
      <c r="A133" s="1">
        <v>41907</v>
      </c>
      <c r="B133" s="6">
        <v>111.3</v>
      </c>
      <c r="C133" s="7">
        <v>70027</v>
      </c>
      <c r="D133" s="7">
        <f t="shared" si="15"/>
        <v>11133.404665641729</v>
      </c>
      <c r="E133">
        <v>11901050</v>
      </c>
      <c r="F133">
        <f t="shared" si="16"/>
        <v>1190105000000000</v>
      </c>
      <c r="G133" s="8">
        <v>98.3</v>
      </c>
      <c r="H133">
        <f t="shared" si="14"/>
        <v>3.1479538300104934</v>
      </c>
      <c r="I133">
        <f t="shared" si="17"/>
        <v>4.7122292582814991</v>
      </c>
      <c r="J133">
        <f t="shared" si="18"/>
        <v>9.3177052973697254</v>
      </c>
      <c r="K133">
        <f t="shared" si="19"/>
        <v>34.712817933435737</v>
      </c>
      <c r="L133">
        <v>16173.51953125</v>
      </c>
      <c r="M133">
        <f t="shared" si="20"/>
        <v>9.6911305869730295</v>
      </c>
    </row>
    <row r="134" spans="1:13">
      <c r="A134" s="1">
        <v>41876</v>
      </c>
      <c r="B134" s="6">
        <v>110</v>
      </c>
      <c r="C134" s="7">
        <v>71037</v>
      </c>
      <c r="D134" s="7">
        <f t="shared" si="15"/>
        <v>11293.981853187934</v>
      </c>
      <c r="E134">
        <v>11887733</v>
      </c>
      <c r="F134">
        <f t="shared" si="16"/>
        <v>1188773300000000</v>
      </c>
      <c r="G134" s="8">
        <v>98.3</v>
      </c>
      <c r="H134">
        <f t="shared" si="14"/>
        <v>3.364879074658258</v>
      </c>
      <c r="I134">
        <f t="shared" si="17"/>
        <v>4.7004803657924166</v>
      </c>
      <c r="J134">
        <f t="shared" si="18"/>
        <v>9.3320252834657698</v>
      </c>
      <c r="K134">
        <f t="shared" si="19"/>
        <v>34.711698330016674</v>
      </c>
      <c r="L134">
        <v>15424.58984375</v>
      </c>
      <c r="M134">
        <f t="shared" si="20"/>
        <v>9.6437182580634939</v>
      </c>
    </row>
    <row r="135" spans="1:13">
      <c r="A135" s="1">
        <v>41845</v>
      </c>
      <c r="B135" s="6">
        <v>110.6</v>
      </c>
      <c r="C135" s="7">
        <v>71417</v>
      </c>
      <c r="D135" s="7">
        <f t="shared" si="15"/>
        <v>11354.397032660763</v>
      </c>
      <c r="E135">
        <v>11891727</v>
      </c>
      <c r="F135">
        <f t="shared" si="16"/>
        <v>1189172700000000</v>
      </c>
      <c r="G135" s="8">
        <v>98.2</v>
      </c>
      <c r="H135">
        <f t="shared" si="14"/>
        <v>3.4773445732349813</v>
      </c>
      <c r="I135">
        <f t="shared" si="17"/>
        <v>4.7059200890882344</v>
      </c>
      <c r="J135">
        <f t="shared" si="18"/>
        <v>9.3373603516467458</v>
      </c>
      <c r="K135">
        <f t="shared" si="19"/>
        <v>34.712034250179499</v>
      </c>
      <c r="L135">
        <v>15620.76953125</v>
      </c>
      <c r="M135">
        <f t="shared" si="20"/>
        <v>9.6563566879452036</v>
      </c>
    </row>
    <row r="136" spans="1:13">
      <c r="A136" s="1">
        <v>41815</v>
      </c>
      <c r="B136" s="6">
        <v>110.9</v>
      </c>
      <c r="C136" s="7">
        <v>70566</v>
      </c>
      <c r="D136" s="7">
        <f t="shared" si="15"/>
        <v>11219.098828104505</v>
      </c>
      <c r="E136">
        <v>11872062</v>
      </c>
      <c r="F136">
        <f t="shared" si="16"/>
        <v>1187206200000000</v>
      </c>
      <c r="G136" s="8">
        <v>98</v>
      </c>
      <c r="H136">
        <f t="shared" ref="H136:H165" si="21">(G136-G148)/G148*100</f>
        <v>3.5940803382663908</v>
      </c>
      <c r="I136">
        <f t="shared" si="17"/>
        <v>4.7086288943563215</v>
      </c>
      <c r="J136">
        <f t="shared" si="18"/>
        <v>9.3253728575002395</v>
      </c>
      <c r="K136">
        <f t="shared" si="19"/>
        <v>34.710379210699998</v>
      </c>
      <c r="L136">
        <v>15162.099609375</v>
      </c>
      <c r="M136">
        <f t="shared" si="20"/>
        <v>9.6265541462672051</v>
      </c>
    </row>
    <row r="137" spans="1:13">
      <c r="A137" s="1">
        <v>41784</v>
      </c>
      <c r="B137" s="6">
        <v>112.6</v>
      </c>
      <c r="C137" s="7">
        <v>70123</v>
      </c>
      <c r="D137" s="7">
        <f t="shared" si="15"/>
        <v>11148.667447824339</v>
      </c>
      <c r="E137">
        <v>11823445</v>
      </c>
      <c r="F137">
        <f t="shared" si="16"/>
        <v>1182344500000000</v>
      </c>
      <c r="G137" s="8">
        <v>97.9</v>
      </c>
      <c r="H137">
        <f t="shared" si="21"/>
        <v>3.7076271186440675</v>
      </c>
      <c r="I137">
        <f t="shared" si="17"/>
        <v>4.7238417157055901</v>
      </c>
      <c r="J137">
        <f t="shared" si="18"/>
        <v>9.3190752583403196</v>
      </c>
      <c r="K137">
        <f t="shared" si="19"/>
        <v>34.706275726590533</v>
      </c>
      <c r="L137">
        <v>14632.3798828125</v>
      </c>
      <c r="M137">
        <f t="shared" si="20"/>
        <v>9.590992152200366</v>
      </c>
    </row>
    <row r="138" spans="1:13">
      <c r="A138" s="1">
        <v>41754</v>
      </c>
      <c r="B138" s="6">
        <v>110.1</v>
      </c>
      <c r="C138" s="7">
        <v>70515</v>
      </c>
      <c r="D138" s="7">
        <f t="shared" si="15"/>
        <v>11210.990475069993</v>
      </c>
      <c r="E138">
        <v>11835518</v>
      </c>
      <c r="F138">
        <f t="shared" si="16"/>
        <v>1183551800000000</v>
      </c>
      <c r="G138" s="8">
        <v>97.6</v>
      </c>
      <c r="H138">
        <f t="shared" si="21"/>
        <v>3.4994697773064658</v>
      </c>
      <c r="I138">
        <f t="shared" si="17"/>
        <v>4.7013890437286339</v>
      </c>
      <c r="J138">
        <f t="shared" si="18"/>
        <v>9.3246498685474872</v>
      </c>
      <c r="K138">
        <f t="shared" si="19"/>
        <v>34.70729631240809</v>
      </c>
      <c r="L138">
        <v>14304.1103515625</v>
      </c>
      <c r="M138">
        <f t="shared" si="20"/>
        <v>9.5683022121180521</v>
      </c>
    </row>
    <row r="139" spans="1:13">
      <c r="A139" s="1">
        <v>41723</v>
      </c>
      <c r="B139" s="6">
        <v>115.2</v>
      </c>
      <c r="C139" s="7">
        <v>70890</v>
      </c>
      <c r="D139" s="7">
        <f t="shared" si="15"/>
        <v>11270.610717970812</v>
      </c>
      <c r="E139">
        <v>11739845</v>
      </c>
      <c r="F139">
        <f t="shared" si="16"/>
        <v>1173984500000000</v>
      </c>
      <c r="G139" s="8">
        <v>95.8</v>
      </c>
      <c r="H139">
        <f t="shared" si="21"/>
        <v>1.6985138004246225</v>
      </c>
      <c r="I139">
        <f t="shared" si="17"/>
        <v>4.746669748261791</v>
      </c>
      <c r="J139">
        <f t="shared" si="18"/>
        <v>9.3299537952702103</v>
      </c>
      <c r="K139">
        <f t="shared" si="19"/>
        <v>34.699179913503713</v>
      </c>
      <c r="L139">
        <v>14827.830078125</v>
      </c>
      <c r="M139">
        <f t="shared" si="20"/>
        <v>9.6042611046773789</v>
      </c>
    </row>
    <row r="140" spans="1:13">
      <c r="A140" s="1">
        <v>41695</v>
      </c>
      <c r="B140" s="6">
        <v>113.5</v>
      </c>
      <c r="C140" s="7">
        <v>71733</v>
      </c>
      <c r="D140" s="7">
        <f t="shared" si="15"/>
        <v>11404.637024011854</v>
      </c>
      <c r="E140">
        <v>11726815</v>
      </c>
      <c r="F140">
        <f t="shared" si="16"/>
        <v>1172681500000000</v>
      </c>
      <c r="G140" s="8">
        <v>95.7</v>
      </c>
      <c r="H140">
        <f t="shared" si="21"/>
        <v>1.5923566878980893</v>
      </c>
      <c r="I140">
        <f t="shared" si="17"/>
        <v>4.7318028369214575</v>
      </c>
      <c r="J140">
        <f t="shared" si="18"/>
        <v>9.341775308171858</v>
      </c>
      <c r="K140">
        <f t="shared" si="19"/>
        <v>34.698069401710463</v>
      </c>
      <c r="L140">
        <v>14841.0703125</v>
      </c>
      <c r="M140">
        <f t="shared" si="20"/>
        <v>9.6051536376044258</v>
      </c>
    </row>
    <row r="141" spans="1:13">
      <c r="A141" s="1">
        <v>41664</v>
      </c>
      <c r="B141" s="6">
        <v>114.7</v>
      </c>
      <c r="C141" s="7">
        <v>74634</v>
      </c>
      <c r="D141" s="7">
        <f t="shared" si="15"/>
        <v>11865.85922309259</v>
      </c>
      <c r="E141">
        <v>11778517</v>
      </c>
      <c r="F141">
        <f t="shared" si="16"/>
        <v>1177851700000000</v>
      </c>
      <c r="G141" s="8">
        <v>95.7</v>
      </c>
      <c r="H141">
        <f t="shared" si="21"/>
        <v>1.3771186440677934</v>
      </c>
      <c r="I141">
        <f t="shared" si="17"/>
        <v>4.7423200241353252</v>
      </c>
      <c r="J141">
        <f t="shared" si="18"/>
        <v>9.3814205828591675</v>
      </c>
      <c r="K141">
        <f t="shared" si="19"/>
        <v>34.702468580873841</v>
      </c>
      <c r="L141">
        <v>14914.5302734375</v>
      </c>
      <c r="M141">
        <f t="shared" si="20"/>
        <v>9.610091202885199</v>
      </c>
    </row>
    <row r="142" spans="1:13">
      <c r="A142" s="1">
        <v>41633</v>
      </c>
      <c r="B142" s="6">
        <v>112.5</v>
      </c>
      <c r="C142" s="7">
        <v>71940</v>
      </c>
      <c r="D142" s="7">
        <f t="shared" si="15"/>
        <v>11437.547398093106</v>
      </c>
      <c r="E142">
        <v>11745546</v>
      </c>
      <c r="F142">
        <f t="shared" si="16"/>
        <v>1174554600000000</v>
      </c>
      <c r="G142" s="8">
        <v>95.7</v>
      </c>
      <c r="H142">
        <f t="shared" si="21"/>
        <v>1.4846235418875988</v>
      </c>
      <c r="I142">
        <f t="shared" si="17"/>
        <v>4.7229532216444747</v>
      </c>
      <c r="J142">
        <f t="shared" si="18"/>
        <v>9.3446568536707613</v>
      </c>
      <c r="K142">
        <f t="shared" si="19"/>
        <v>34.699665406814162</v>
      </c>
      <c r="L142">
        <v>16291.3095703125</v>
      </c>
      <c r="M142">
        <f t="shared" si="20"/>
        <v>9.6983870894215336</v>
      </c>
    </row>
    <row r="143" spans="1:13">
      <c r="A143" s="1">
        <v>41603</v>
      </c>
      <c r="B143" s="6">
        <v>112.5</v>
      </c>
      <c r="C143" s="7">
        <v>69816</v>
      </c>
      <c r="D143" s="7">
        <f t="shared" si="15"/>
        <v>11099.858342302867</v>
      </c>
      <c r="E143">
        <v>11655386</v>
      </c>
      <c r="F143">
        <f t="shared" si="16"/>
        <v>1165538600000000</v>
      </c>
      <c r="G143" s="8">
        <v>95.6</v>
      </c>
      <c r="H143">
        <f t="shared" si="21"/>
        <v>1.4861995753715407</v>
      </c>
      <c r="I143">
        <f t="shared" si="17"/>
        <v>4.7229532216444747</v>
      </c>
      <c r="J143">
        <f t="shared" si="18"/>
        <v>9.3146876252642947</v>
      </c>
      <c r="K143">
        <f t="shared" si="19"/>
        <v>34.691959692689061</v>
      </c>
      <c r="L143">
        <v>15661.8701171875</v>
      </c>
      <c r="M143">
        <f t="shared" si="20"/>
        <v>9.6589843824139958</v>
      </c>
    </row>
    <row r="144" spans="1:13">
      <c r="A144" s="1">
        <v>41572</v>
      </c>
      <c r="B144" s="6">
        <v>111.9</v>
      </c>
      <c r="C144" s="7">
        <v>70167</v>
      </c>
      <c r="D144" s="7">
        <f t="shared" si="15"/>
        <v>11155.662889658033</v>
      </c>
      <c r="E144">
        <v>11625774</v>
      </c>
      <c r="F144">
        <f t="shared" si="16"/>
        <v>1162577400000000</v>
      </c>
      <c r="G144" s="8">
        <v>95.3</v>
      </c>
      <c r="H144">
        <f t="shared" si="21"/>
        <v>1.167728237791926</v>
      </c>
      <c r="I144">
        <f t="shared" si="17"/>
        <v>4.71760561531788</v>
      </c>
      <c r="J144">
        <f t="shared" si="18"/>
        <v>9.31970253044015</v>
      </c>
      <c r="K144">
        <f t="shared" si="19"/>
        <v>34.689415831818827</v>
      </c>
      <c r="L144">
        <v>14327.9404296875</v>
      </c>
      <c r="M144">
        <f t="shared" si="20"/>
        <v>9.5699667861165718</v>
      </c>
    </row>
    <row r="145" spans="1:13">
      <c r="A145" s="1">
        <v>41542</v>
      </c>
      <c r="B145" s="6">
        <v>111.6</v>
      </c>
      <c r="C145" s="7">
        <v>68999</v>
      </c>
      <c r="D145" s="7">
        <f t="shared" si="15"/>
        <v>10969.965706436284</v>
      </c>
      <c r="E145">
        <v>11610682</v>
      </c>
      <c r="F145">
        <f t="shared" si="16"/>
        <v>1161068200000000</v>
      </c>
      <c r="G145" s="8">
        <v>95.3</v>
      </c>
      <c r="H145">
        <f t="shared" si="21"/>
        <v>1.0604453870625663</v>
      </c>
      <c r="I145">
        <f t="shared" si="17"/>
        <v>4.7149210499472103</v>
      </c>
      <c r="J145">
        <f t="shared" si="18"/>
        <v>9.3029164271419003</v>
      </c>
      <c r="K145">
        <f t="shared" si="19"/>
        <v>34.688116838364564</v>
      </c>
      <c r="L145">
        <v>14455.7998046875</v>
      </c>
      <c r="M145">
        <f t="shared" si="20"/>
        <v>9.578850983579569</v>
      </c>
    </row>
    <row r="146" spans="1:13">
      <c r="A146" s="1">
        <v>41511</v>
      </c>
      <c r="B146" s="6">
        <v>110.5</v>
      </c>
      <c r="C146" s="7">
        <v>66362</v>
      </c>
      <c r="D146" s="7">
        <f t="shared" si="15"/>
        <v>10550.716158357724</v>
      </c>
      <c r="E146">
        <v>11602679</v>
      </c>
      <c r="F146">
        <f t="shared" si="16"/>
        <v>1160267900000000</v>
      </c>
      <c r="G146" s="8">
        <v>95.1</v>
      </c>
      <c r="H146">
        <f t="shared" si="21"/>
        <v>0.84835630965004993</v>
      </c>
      <c r="I146">
        <f t="shared" si="17"/>
        <v>4.705015520957808</v>
      </c>
      <c r="J146">
        <f t="shared" si="18"/>
        <v>9.2639490189091021</v>
      </c>
      <c r="K146">
        <f t="shared" si="19"/>
        <v>34.687427321640371</v>
      </c>
      <c r="L146">
        <v>13388.8603515625</v>
      </c>
      <c r="M146">
        <f t="shared" si="20"/>
        <v>9.5021783231557873</v>
      </c>
    </row>
    <row r="147" spans="1:13">
      <c r="A147" s="1">
        <v>41480</v>
      </c>
      <c r="B147" s="6">
        <v>110.3</v>
      </c>
      <c r="C147" s="7">
        <v>65031</v>
      </c>
      <c r="D147" s="7">
        <f t="shared" si="15"/>
        <v>10339.104042888417</v>
      </c>
      <c r="E147">
        <v>11608340</v>
      </c>
      <c r="F147">
        <f t="shared" si="16"/>
        <v>1160834000000000</v>
      </c>
      <c r="G147" s="8">
        <v>94.9</v>
      </c>
      <c r="H147">
        <f t="shared" si="21"/>
        <v>0.63626723223754877</v>
      </c>
      <c r="I147">
        <f t="shared" si="17"/>
        <v>4.7032039262594569</v>
      </c>
      <c r="J147">
        <f t="shared" si="18"/>
        <v>9.2436884946841804</v>
      </c>
      <c r="K147">
        <f t="shared" si="19"/>
        <v>34.687915107214309</v>
      </c>
      <c r="L147">
        <v>13668.3203125</v>
      </c>
      <c r="M147">
        <f t="shared" si="20"/>
        <v>9.52283604817422</v>
      </c>
    </row>
    <row r="148" spans="1:13">
      <c r="A148" s="1">
        <v>41450</v>
      </c>
      <c r="B148" s="6">
        <v>108.5</v>
      </c>
      <c r="C148" s="7">
        <v>65750</v>
      </c>
      <c r="D148" s="7">
        <f t="shared" si="15"/>
        <v>10453.415921943588</v>
      </c>
      <c r="E148">
        <v>11585000</v>
      </c>
      <c r="F148">
        <f t="shared" si="16"/>
        <v>1158500000000000</v>
      </c>
      <c r="G148" s="8">
        <v>94.6</v>
      </c>
      <c r="H148">
        <f t="shared" si="21"/>
        <v>0.21186440677964896</v>
      </c>
      <c r="I148">
        <f t="shared" si="17"/>
        <v>4.6867501729805143</v>
      </c>
      <c r="J148">
        <f t="shared" si="18"/>
        <v>9.2546840864611575</v>
      </c>
      <c r="K148">
        <f t="shared" si="19"/>
        <v>34.685902459800978</v>
      </c>
      <c r="L148">
        <v>13677.3203125</v>
      </c>
      <c r="M148">
        <f t="shared" si="20"/>
        <v>9.5234942883996645</v>
      </c>
    </row>
    <row r="149" spans="1:13">
      <c r="A149" s="1">
        <v>41419</v>
      </c>
      <c r="B149" s="6">
        <v>109.8</v>
      </c>
      <c r="C149" s="7">
        <v>66580</v>
      </c>
      <c r="D149" s="7">
        <f t="shared" si="15"/>
        <v>10585.3753928974</v>
      </c>
      <c r="E149">
        <v>11518374</v>
      </c>
      <c r="F149">
        <f t="shared" si="16"/>
        <v>1151837400000000</v>
      </c>
      <c r="G149" s="8">
        <v>94.4</v>
      </c>
      <c r="H149">
        <f t="shared" si="21"/>
        <v>-0.3167898627243898</v>
      </c>
      <c r="I149">
        <f t="shared" si="17"/>
        <v>4.69866052907543</v>
      </c>
      <c r="J149">
        <f t="shared" si="18"/>
        <v>9.267228647550164</v>
      </c>
      <c r="K149">
        <f t="shared" si="19"/>
        <v>34.680134801389038</v>
      </c>
      <c r="L149">
        <v>13774.5400390625</v>
      </c>
      <c r="M149">
        <f t="shared" si="20"/>
        <v>9.5305772424699757</v>
      </c>
    </row>
    <row r="150" spans="1:13">
      <c r="A150" s="1">
        <v>41389</v>
      </c>
      <c r="B150" s="6">
        <v>108</v>
      </c>
      <c r="C150" s="7">
        <v>67132</v>
      </c>
      <c r="D150" s="7">
        <f t="shared" si="15"/>
        <v>10673.136390447406</v>
      </c>
      <c r="E150">
        <v>11516195</v>
      </c>
      <c r="F150">
        <f t="shared" si="16"/>
        <v>1151619500000000</v>
      </c>
      <c r="G150" s="8">
        <v>94.3</v>
      </c>
      <c r="H150">
        <f t="shared" si="21"/>
        <v>-0.63224446786091515</v>
      </c>
      <c r="I150">
        <f t="shared" si="17"/>
        <v>4.6821312271242199</v>
      </c>
      <c r="J150">
        <f t="shared" si="18"/>
        <v>9.2754852458492163</v>
      </c>
      <c r="K150">
        <f t="shared" si="19"/>
        <v>34.67994560748604</v>
      </c>
      <c r="L150">
        <v>13860.8603515625</v>
      </c>
      <c r="M150">
        <f t="shared" si="20"/>
        <v>9.5368243452446659</v>
      </c>
    </row>
    <row r="151" spans="1:13">
      <c r="A151" s="1">
        <v>41358</v>
      </c>
      <c r="B151" s="6">
        <v>108</v>
      </c>
      <c r="C151" s="7">
        <v>68430</v>
      </c>
      <c r="D151" s="7">
        <f t="shared" si="15"/>
        <v>10879.501924541441</v>
      </c>
      <c r="E151">
        <v>11414268</v>
      </c>
      <c r="F151">
        <f t="shared" si="16"/>
        <v>1141426800000000</v>
      </c>
      <c r="G151" s="8">
        <v>94.2</v>
      </c>
      <c r="H151">
        <f t="shared" si="21"/>
        <v>-0.8421052631578918</v>
      </c>
      <c r="I151">
        <f t="shared" si="17"/>
        <v>4.6821312271242199</v>
      </c>
      <c r="J151">
        <f t="shared" si="18"/>
        <v>9.2946357403676902</v>
      </c>
      <c r="K151">
        <f t="shared" si="19"/>
        <v>34.671055453692425</v>
      </c>
      <c r="L151">
        <v>12397.91015625</v>
      </c>
      <c r="M151">
        <f t="shared" si="20"/>
        <v>9.4252832016030865</v>
      </c>
    </row>
    <row r="152" spans="1:13">
      <c r="A152" s="1">
        <v>41330</v>
      </c>
      <c r="B152" s="6">
        <v>106.7</v>
      </c>
      <c r="C152" s="7">
        <v>65150</v>
      </c>
      <c r="D152" s="7">
        <f t="shared" si="15"/>
        <v>10358.023533302277</v>
      </c>
      <c r="E152">
        <v>11365785</v>
      </c>
      <c r="F152">
        <f t="shared" si="16"/>
        <v>1136578500000000</v>
      </c>
      <c r="G152" s="8">
        <v>94.2</v>
      </c>
      <c r="H152">
        <f t="shared" si="21"/>
        <v>-0.63291139240505734</v>
      </c>
      <c r="I152">
        <f t="shared" si="17"/>
        <v>4.6700211583077076</v>
      </c>
      <c r="J152">
        <f t="shared" si="18"/>
        <v>9.2455167189741392</v>
      </c>
      <c r="K152">
        <f t="shared" si="19"/>
        <v>34.666798828547201</v>
      </c>
      <c r="L152">
        <v>11559.3603515625</v>
      </c>
      <c r="M152">
        <f t="shared" si="20"/>
        <v>9.3552508077856285</v>
      </c>
    </row>
    <row r="153" spans="1:13">
      <c r="A153" s="1">
        <v>41299</v>
      </c>
      <c r="B153" s="6">
        <v>104.8</v>
      </c>
      <c r="C153" s="7">
        <v>61323</v>
      </c>
      <c r="D153" s="7">
        <f t="shared" si="15"/>
        <v>9749.5790810851195</v>
      </c>
      <c r="E153">
        <v>11385130</v>
      </c>
      <c r="F153">
        <f t="shared" si="16"/>
        <v>1138513000000000</v>
      </c>
      <c r="G153" s="8">
        <v>94.4</v>
      </c>
      <c r="H153">
        <f t="shared" si="21"/>
        <v>-0.3167898627243898</v>
      </c>
      <c r="I153">
        <f t="shared" si="17"/>
        <v>4.6520537718869415</v>
      </c>
      <c r="J153">
        <f t="shared" si="18"/>
        <v>9.1849793918892342</v>
      </c>
      <c r="K153">
        <f t="shared" si="19"/>
        <v>34.668499419900307</v>
      </c>
      <c r="L153">
        <v>11138.66015625</v>
      </c>
      <c r="M153">
        <f t="shared" si="20"/>
        <v>9.3181772330207604</v>
      </c>
    </row>
    <row r="154" spans="1:13">
      <c r="A154" s="1">
        <v>41268</v>
      </c>
      <c r="B154" s="6">
        <v>106.6</v>
      </c>
      <c r="C154" s="7">
        <v>58538</v>
      </c>
      <c r="D154" s="7">
        <f t="shared" si="15"/>
        <v>9306.7994104750378</v>
      </c>
      <c r="E154">
        <v>11358541</v>
      </c>
      <c r="F154">
        <f t="shared" si="16"/>
        <v>1135854100000000</v>
      </c>
      <c r="G154" s="8">
        <v>94.3</v>
      </c>
      <c r="H154">
        <f t="shared" si="21"/>
        <v>-0.10593220338983952</v>
      </c>
      <c r="I154">
        <f t="shared" si="17"/>
        <v>4.6690835117317437</v>
      </c>
      <c r="J154">
        <f t="shared" si="18"/>
        <v>9.1385005314096706</v>
      </c>
      <c r="K154">
        <f t="shared" si="19"/>
        <v>34.666161273862819</v>
      </c>
      <c r="L154">
        <v>10395.1796875</v>
      </c>
      <c r="M154">
        <f t="shared" si="20"/>
        <v>9.249097486097499</v>
      </c>
    </row>
    <row r="155" spans="1:13">
      <c r="A155" s="1">
        <v>41238</v>
      </c>
      <c r="B155" s="6">
        <v>105.1</v>
      </c>
      <c r="C155" s="7">
        <v>57199</v>
      </c>
      <c r="D155" s="7">
        <f t="shared" si="15"/>
        <v>9093.9153964905145</v>
      </c>
      <c r="E155">
        <v>11262758</v>
      </c>
      <c r="F155">
        <f t="shared" si="16"/>
        <v>1126275800000000</v>
      </c>
      <c r="G155" s="8">
        <v>94.2</v>
      </c>
      <c r="H155">
        <f t="shared" si="21"/>
        <v>-0.21186440677966401</v>
      </c>
      <c r="I155">
        <f t="shared" si="17"/>
        <v>4.6549122778829055</v>
      </c>
      <c r="J155">
        <f t="shared" si="18"/>
        <v>9.1153608311187337</v>
      </c>
      <c r="K155">
        <f t="shared" si="19"/>
        <v>34.657692832468847</v>
      </c>
      <c r="L155">
        <v>9446.009765625</v>
      </c>
      <c r="M155">
        <f t="shared" si="20"/>
        <v>9.1533476842926014</v>
      </c>
    </row>
    <row r="156" spans="1:13">
      <c r="A156" s="1">
        <v>41207</v>
      </c>
      <c r="B156" s="6">
        <v>106.1</v>
      </c>
      <c r="C156" s="7">
        <v>56918</v>
      </c>
      <c r="D156" s="7">
        <f t="shared" si="15"/>
        <v>9049.2399611434994</v>
      </c>
      <c r="E156">
        <v>11253832</v>
      </c>
      <c r="F156">
        <f t="shared" si="16"/>
        <v>1125383200000000</v>
      </c>
      <c r="G156" s="8">
        <v>94.2</v>
      </c>
      <c r="H156">
        <f t="shared" si="21"/>
        <v>-0.42283298097250688</v>
      </c>
      <c r="I156">
        <f t="shared" si="17"/>
        <v>4.664382045619937</v>
      </c>
      <c r="J156">
        <f t="shared" si="18"/>
        <v>9.1104360509731812</v>
      </c>
      <c r="K156">
        <f t="shared" si="19"/>
        <v>34.656899994790713</v>
      </c>
      <c r="L156">
        <v>8928.2900390625</v>
      </c>
      <c r="M156">
        <f t="shared" si="20"/>
        <v>9.0969801705475515</v>
      </c>
    </row>
    <row r="157" spans="1:13">
      <c r="A157" s="1">
        <v>41177</v>
      </c>
      <c r="B157" s="6">
        <v>105.8</v>
      </c>
      <c r="C157" s="7">
        <v>55082</v>
      </c>
      <c r="D157" s="7">
        <f t="shared" si="15"/>
        <v>8757.3392519010904</v>
      </c>
      <c r="E157">
        <v>11261178</v>
      </c>
      <c r="F157">
        <f t="shared" si="16"/>
        <v>1126117800000000</v>
      </c>
      <c r="G157" s="8">
        <v>94.3</v>
      </c>
      <c r="H157">
        <f t="shared" si="21"/>
        <v>-0.31712473572938388</v>
      </c>
      <c r="I157">
        <f t="shared" si="17"/>
        <v>4.6615505194241988</v>
      </c>
      <c r="J157">
        <f t="shared" si="18"/>
        <v>9.0776473994251408</v>
      </c>
      <c r="K157">
        <f t="shared" si="19"/>
        <v>34.657552537273318</v>
      </c>
      <c r="L157">
        <v>8870.16015625</v>
      </c>
      <c r="M157">
        <f t="shared" si="20"/>
        <v>9.0904481310876317</v>
      </c>
    </row>
    <row r="158" spans="1:13">
      <c r="A158" s="1">
        <v>41146</v>
      </c>
      <c r="B158" s="6">
        <v>108.1</v>
      </c>
      <c r="C158" s="7">
        <v>50900</v>
      </c>
      <c r="D158" s="7">
        <f t="shared" si="15"/>
        <v>8092.4543030711575</v>
      </c>
      <c r="E158">
        <v>11261725</v>
      </c>
      <c r="F158">
        <f t="shared" si="16"/>
        <v>1126172500000000</v>
      </c>
      <c r="G158" s="8">
        <v>94.3</v>
      </c>
      <c r="H158">
        <f t="shared" si="21"/>
        <v>-0.42238648363252973</v>
      </c>
      <c r="I158">
        <f t="shared" si="17"/>
        <v>4.6830567246451622</v>
      </c>
      <c r="J158">
        <f t="shared" si="18"/>
        <v>8.9986873389597619</v>
      </c>
      <c r="K158">
        <f t="shared" si="19"/>
        <v>34.657601110052781</v>
      </c>
      <c r="L158">
        <v>8839.91015625</v>
      </c>
      <c r="M158">
        <f t="shared" si="20"/>
        <v>9.0870319922599059</v>
      </c>
    </row>
    <row r="159" spans="1:13">
      <c r="A159" s="1">
        <v>41115</v>
      </c>
      <c r="B159" s="6">
        <v>109.8</v>
      </c>
      <c r="C159" s="7">
        <v>51150</v>
      </c>
      <c r="D159" s="7">
        <f t="shared" si="15"/>
        <v>8132.2011316717035</v>
      </c>
      <c r="E159">
        <v>11269945</v>
      </c>
      <c r="F159">
        <f t="shared" si="16"/>
        <v>1126994500000000</v>
      </c>
      <c r="G159" s="8">
        <v>94.3</v>
      </c>
      <c r="H159">
        <f t="shared" si="21"/>
        <v>-0.42238648363252973</v>
      </c>
      <c r="I159">
        <f t="shared" si="17"/>
        <v>4.69866052907543</v>
      </c>
      <c r="J159">
        <f t="shared" si="18"/>
        <v>9.0035869078009192</v>
      </c>
      <c r="K159">
        <f t="shared" si="19"/>
        <v>34.658330749743463</v>
      </c>
      <c r="L159">
        <v>8695.0595703125</v>
      </c>
      <c r="M159">
        <f t="shared" si="20"/>
        <v>9.0705102778646847</v>
      </c>
    </row>
    <row r="160" spans="1:13">
      <c r="A160" s="1">
        <v>41085</v>
      </c>
      <c r="B160" s="6">
        <v>110.3</v>
      </c>
      <c r="C160" s="7">
        <v>57526</v>
      </c>
      <c r="D160" s="7">
        <f t="shared" si="15"/>
        <v>9145.9042483000285</v>
      </c>
      <c r="E160">
        <v>11242070</v>
      </c>
      <c r="F160">
        <f t="shared" si="16"/>
        <v>1124207000000000</v>
      </c>
      <c r="G160" s="8">
        <v>94.4</v>
      </c>
      <c r="H160">
        <f t="shared" si="21"/>
        <v>-0.21141649048624592</v>
      </c>
      <c r="I160">
        <f t="shared" si="17"/>
        <v>4.7032039262594569</v>
      </c>
      <c r="J160">
        <f t="shared" si="18"/>
        <v>9.1210614349198149</v>
      </c>
      <c r="K160">
        <f t="shared" si="19"/>
        <v>34.655854293127199</v>
      </c>
      <c r="L160">
        <v>9006.7802734375</v>
      </c>
      <c r="M160">
        <f t="shared" si="20"/>
        <v>9.1057329363976347</v>
      </c>
    </row>
    <row r="161" spans="1:13">
      <c r="A161" s="1">
        <v>41054</v>
      </c>
      <c r="B161" s="6">
        <v>111.2</v>
      </c>
      <c r="C161" s="7">
        <v>62995</v>
      </c>
      <c r="D161" s="7">
        <f t="shared" si="15"/>
        <v>10015.405870765571</v>
      </c>
      <c r="E161">
        <v>11204900</v>
      </c>
      <c r="F161">
        <f t="shared" si="16"/>
        <v>1120490000000000</v>
      </c>
      <c r="G161" s="8">
        <v>94.7</v>
      </c>
      <c r="H161">
        <f t="shared" si="21"/>
        <v>0.21164021164021465</v>
      </c>
      <c r="I161">
        <f t="shared" si="17"/>
        <v>4.7113303818164818</v>
      </c>
      <c r="J161">
        <f t="shared" si="18"/>
        <v>9.2118797735658777</v>
      </c>
      <c r="K161">
        <f t="shared" si="19"/>
        <v>34.652542484542465</v>
      </c>
      <c r="L161">
        <v>8542.73046875</v>
      </c>
      <c r="M161">
        <f t="shared" si="20"/>
        <v>9.0528359627007298</v>
      </c>
    </row>
    <row r="162" spans="1:13">
      <c r="A162" s="1">
        <v>41024</v>
      </c>
      <c r="B162" s="6">
        <v>113.2</v>
      </c>
      <c r="C162" s="7">
        <v>65759</v>
      </c>
      <c r="D162" s="7">
        <f t="shared" si="15"/>
        <v>10454.846807773207</v>
      </c>
      <c r="E162">
        <v>11228021</v>
      </c>
      <c r="F162">
        <f t="shared" si="16"/>
        <v>1122802100000000</v>
      </c>
      <c r="G162" s="8">
        <v>94.9</v>
      </c>
      <c r="H162">
        <f t="shared" si="21"/>
        <v>0.42328042328042931</v>
      </c>
      <c r="I162">
        <f t="shared" si="17"/>
        <v>4.7291561657690826</v>
      </c>
      <c r="J162">
        <f t="shared" si="18"/>
        <v>9.2548209592229327</v>
      </c>
      <c r="K162">
        <f t="shared" si="19"/>
        <v>34.654603830738715</v>
      </c>
      <c r="L162">
        <v>9520.8896484375</v>
      </c>
      <c r="M162">
        <f t="shared" si="20"/>
        <v>9.1612435738853115</v>
      </c>
    </row>
    <row r="163" spans="1:13">
      <c r="A163" s="1">
        <v>40993</v>
      </c>
      <c r="B163" s="6">
        <v>113.7</v>
      </c>
      <c r="C163" s="7">
        <v>61895</v>
      </c>
      <c r="D163" s="7">
        <f t="shared" si="15"/>
        <v>9840.5198249231689</v>
      </c>
      <c r="E163">
        <v>11135445</v>
      </c>
      <c r="F163">
        <f t="shared" si="16"/>
        <v>1113544500000000</v>
      </c>
      <c r="G163" s="8">
        <v>95</v>
      </c>
      <c r="H163">
        <f t="shared" si="21"/>
        <v>0.52910052910052907</v>
      </c>
      <c r="I163">
        <f t="shared" si="17"/>
        <v>4.7335634007564904</v>
      </c>
      <c r="J163">
        <f t="shared" si="18"/>
        <v>9.1942638163870569</v>
      </c>
      <c r="K163">
        <f t="shared" si="19"/>
        <v>34.646324565904663</v>
      </c>
      <c r="L163">
        <v>10083.5595703125</v>
      </c>
      <c r="M163">
        <f t="shared" si="20"/>
        <v>9.2186616112643858</v>
      </c>
    </row>
    <row r="164" spans="1:13">
      <c r="A164" s="1">
        <v>40964</v>
      </c>
      <c r="B164" s="6">
        <v>114</v>
      </c>
      <c r="C164" s="7">
        <v>56444</v>
      </c>
      <c r="D164" s="7">
        <f t="shared" si="15"/>
        <v>8973.8799741168659</v>
      </c>
      <c r="E164">
        <v>11095882</v>
      </c>
      <c r="F164">
        <f t="shared" si="16"/>
        <v>1109588200000000</v>
      </c>
      <c r="G164" s="8">
        <v>94.8</v>
      </c>
      <c r="H164">
        <f t="shared" si="21"/>
        <v>0.31746031746031445</v>
      </c>
      <c r="I164">
        <f t="shared" si="17"/>
        <v>4.7361984483944957</v>
      </c>
      <c r="J164">
        <f t="shared" si="18"/>
        <v>9.1020734115987985</v>
      </c>
      <c r="K164">
        <f t="shared" si="19"/>
        <v>34.642765350409753</v>
      </c>
      <c r="L164">
        <v>9723.240234375</v>
      </c>
      <c r="M164">
        <f t="shared" si="20"/>
        <v>9.1822741993492247</v>
      </c>
    </row>
    <row r="165" spans="1:13">
      <c r="A165" s="1">
        <v>40933</v>
      </c>
      <c r="B165" s="6">
        <v>114.2</v>
      </c>
      <c r="C165" s="7">
        <v>55120</v>
      </c>
      <c r="D165" s="7">
        <f t="shared" si="15"/>
        <v>8763.3807698483743</v>
      </c>
      <c r="E165">
        <v>11132822</v>
      </c>
      <c r="F165">
        <f t="shared" si="16"/>
        <v>1113282200000000</v>
      </c>
      <c r="G165" s="8">
        <v>94.7</v>
      </c>
      <c r="H165">
        <f t="shared" si="21"/>
        <v>0.21164021164021465</v>
      </c>
      <c r="I165">
        <f t="shared" si="17"/>
        <v>4.73795129722191</v>
      </c>
      <c r="J165">
        <f t="shared" si="18"/>
        <v>9.0783370421086875</v>
      </c>
      <c r="K165">
        <f t="shared" si="19"/>
        <v>34.646088984032744</v>
      </c>
      <c r="L165">
        <v>8802.509765625</v>
      </c>
      <c r="M165">
        <f t="shared" si="20"/>
        <v>9.0827921604435318</v>
      </c>
    </row>
    <row r="166" spans="1:13">
      <c r="A166" s="1">
        <v>40902</v>
      </c>
      <c r="G166" s="9">
        <v>94.4</v>
      </c>
    </row>
    <row r="167" spans="1:13">
      <c r="A167" s="1">
        <v>40872</v>
      </c>
      <c r="G167" s="9">
        <v>94.4</v>
      </c>
    </row>
    <row r="168" spans="1:13">
      <c r="A168" s="1">
        <v>40841</v>
      </c>
      <c r="G168" s="9">
        <v>94.6</v>
      </c>
    </row>
    <row r="169" spans="1:13">
      <c r="A169" s="1">
        <v>40811</v>
      </c>
      <c r="G169" s="9">
        <v>94.6</v>
      </c>
    </row>
    <row r="170" spans="1:13">
      <c r="A170" s="1">
        <v>40780</v>
      </c>
      <c r="G170" s="9">
        <v>94.7</v>
      </c>
    </row>
    <row r="171" spans="1:13">
      <c r="A171" s="1">
        <v>40749</v>
      </c>
      <c r="G171" s="9">
        <v>94.7</v>
      </c>
    </row>
    <row r="172" spans="1:13">
      <c r="A172" s="1">
        <v>40719</v>
      </c>
      <c r="G172" s="9">
        <v>94.6</v>
      </c>
    </row>
    <row r="173" spans="1:13">
      <c r="A173" s="1">
        <v>40688</v>
      </c>
      <c r="G173" s="9">
        <v>94.5</v>
      </c>
    </row>
    <row r="174" spans="1:13">
      <c r="A174" s="1">
        <v>40658</v>
      </c>
      <c r="G174" s="9">
        <v>94.5</v>
      </c>
    </row>
    <row r="175" spans="1:13">
      <c r="A175" s="1">
        <v>40627</v>
      </c>
      <c r="G175" s="9">
        <v>94.5</v>
      </c>
    </row>
    <row r="176" spans="1:13">
      <c r="A176" s="1">
        <v>40599</v>
      </c>
      <c r="G176" s="9">
        <v>94.5</v>
      </c>
    </row>
    <row r="177" spans="1:7">
      <c r="A177" s="1">
        <v>40568</v>
      </c>
      <c r="G177" s="9">
        <v>94.5</v>
      </c>
    </row>
    <row r="178" spans="1:7">
      <c r="A178" s="1"/>
    </row>
    <row r="179" spans="1:7">
      <c r="A179" s="1"/>
    </row>
    <row r="180" spans="1:7">
      <c r="A180" s="1"/>
    </row>
    <row r="181" spans="1:7">
      <c r="A181" s="1"/>
    </row>
    <row r="182" spans="1:7">
      <c r="A182" s="1"/>
    </row>
    <row r="183" spans="1:7">
      <c r="A183" s="1"/>
    </row>
    <row r="184" spans="1:7">
      <c r="A184" s="1"/>
    </row>
    <row r="185" spans="1:7">
      <c r="A185" s="1"/>
    </row>
    <row r="186" spans="1:7">
      <c r="A186" s="1"/>
    </row>
    <row r="187" spans="1:7">
      <c r="A187" s="1"/>
    </row>
    <row r="188" spans="1:7">
      <c r="A188" s="1"/>
    </row>
    <row r="189" spans="1:7">
      <c r="A189" s="1"/>
    </row>
    <row r="190" spans="1:7">
      <c r="A190" s="1"/>
    </row>
    <row r="191" spans="1:7">
      <c r="A191" s="1"/>
    </row>
    <row r="192" spans="1:7">
      <c r="A192" s="1"/>
    </row>
    <row r="193" spans="1:1">
      <c r="A193" s="1"/>
    </row>
    <row r="194" spans="1:1">
      <c r="A194" s="1"/>
    </row>
    <row r="195" spans="1:1">
      <c r="A195" s="1"/>
    </row>
    <row r="196" spans="1:1">
      <c r="A196" s="1"/>
    </row>
    <row r="197" spans="1:1">
      <c r="A197" s="1"/>
    </row>
    <row r="198" spans="1:1">
      <c r="A198" s="1"/>
    </row>
    <row r="199" spans="1:1">
      <c r="A199" s="1"/>
    </row>
    <row r="200" spans="1:1">
      <c r="A200" s="1"/>
    </row>
    <row r="201" spans="1:1">
      <c r="A201" s="1"/>
    </row>
    <row r="202" spans="1:1">
      <c r="A202" s="1"/>
    </row>
    <row r="203" spans="1:1">
      <c r="A203" s="1"/>
    </row>
    <row r="204" spans="1:1">
      <c r="A204" s="1"/>
    </row>
    <row r="205" spans="1:1">
      <c r="A205" s="1"/>
    </row>
    <row r="206" spans="1:1">
      <c r="A206" s="1"/>
    </row>
    <row r="207" spans="1:1">
      <c r="A207" s="1"/>
    </row>
    <row r="208" spans="1:1">
      <c r="A208" s="1"/>
    </row>
    <row r="209" spans="1:1">
      <c r="A209" s="1"/>
    </row>
  </sheetData>
  <sortState ref="G171:H182">
    <sortCondition descending="1" ref="H171:H18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2025-10-25T16:32:12Z</dcterms:created>
  <dcterms:modified xsi:type="dcterms:W3CDTF">2025-11-05T11:31:14Z</dcterms:modified>
</cp:coreProperties>
</file>